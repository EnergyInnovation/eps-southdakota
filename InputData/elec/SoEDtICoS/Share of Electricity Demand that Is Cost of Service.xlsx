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SD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1769</v>
      </c>
      <c r="C4" t="inlineStr">
        <is>
          <t>Black Hills Electric Coop, Inc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SD</t>
        </is>
      </c>
      <c r="H4" t="inlineStr">
        <is>
          <t>Cooperative</t>
        </is>
      </c>
      <c r="I4" t="inlineStr">
        <is>
          <t>SWPP</t>
        </is>
      </c>
      <c r="J4" t="n">
        <v>18125.5</v>
      </c>
      <c r="K4" t="n">
        <v>122760</v>
      </c>
      <c r="L4" t="n">
        <v>9227</v>
      </c>
      <c r="M4" t="n">
        <v>5163.2</v>
      </c>
      <c r="N4" t="n">
        <v>36002</v>
      </c>
      <c r="O4" t="n">
        <v>1955</v>
      </c>
      <c r="P4" t="n">
        <v>412.2</v>
      </c>
      <c r="Q4" t="n">
        <v>2221</v>
      </c>
      <c r="R4" t="n">
        <v>96</v>
      </c>
      <c r="S4" t="n">
        <v>0</v>
      </c>
      <c r="T4" t="n">
        <v>0</v>
      </c>
      <c r="U4" t="n">
        <v>0</v>
      </c>
      <c r="V4" t="n">
        <v>23700.9</v>
      </c>
      <c r="W4" t="n">
        <v>160983</v>
      </c>
      <c r="X4" t="n">
        <v>11278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2285</v>
      </c>
      <c r="C5" t="inlineStr">
        <is>
          <t>City of Brookings - (SD)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SD</t>
        </is>
      </c>
      <c r="H5" t="inlineStr">
        <is>
          <t>Municipal</t>
        </is>
      </c>
      <c r="I5" t="inlineStr">
        <is>
          <t>WACM</t>
        </is>
      </c>
      <c r="J5" t="n">
        <v>11361</v>
      </c>
      <c r="K5" t="n">
        <v>102150</v>
      </c>
      <c r="L5" t="n">
        <v>10544</v>
      </c>
      <c r="M5" t="n">
        <v>4460</v>
      </c>
      <c r="N5" t="n">
        <v>38506</v>
      </c>
      <c r="O5" t="n">
        <v>1597</v>
      </c>
      <c r="P5" t="n">
        <v>14740</v>
      </c>
      <c r="Q5" t="n">
        <v>180336</v>
      </c>
      <c r="R5" t="n">
        <v>168</v>
      </c>
      <c r="S5" t="n">
        <v>0</v>
      </c>
      <c r="T5" t="n">
        <v>0</v>
      </c>
      <c r="U5" t="n">
        <v>0</v>
      </c>
      <c r="V5" t="n">
        <v>30561</v>
      </c>
      <c r="W5" t="n">
        <v>320992</v>
      </c>
      <c r="X5" t="n">
        <v>12309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3236</v>
      </c>
      <c r="C6" t="inlineStr">
        <is>
          <t>Central Electric Coop, Inc - (SD)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SD</t>
        </is>
      </c>
      <c r="H6" t="inlineStr">
        <is>
          <t>Cooperative</t>
        </is>
      </c>
      <c r="I6" t="inlineStr">
        <is>
          <t>WACM</t>
        </is>
      </c>
      <c r="J6" t="n">
        <v>15642.9</v>
      </c>
      <c r="K6" t="n">
        <v>114649</v>
      </c>
      <c r="L6" t="n">
        <v>6483</v>
      </c>
      <c r="M6" t="n">
        <v>3572.2</v>
      </c>
      <c r="N6" t="n">
        <v>28131</v>
      </c>
      <c r="O6" t="n">
        <v>688</v>
      </c>
      <c r="P6" t="n">
        <v>17683.4</v>
      </c>
      <c r="Q6" t="n">
        <v>205072</v>
      </c>
      <c r="R6" t="n">
        <v>180</v>
      </c>
      <c r="S6" t="n">
        <v>0</v>
      </c>
      <c r="T6" t="n">
        <v>0</v>
      </c>
      <c r="U6" t="n">
        <v>0</v>
      </c>
      <c r="V6" t="n">
        <v>36898.5</v>
      </c>
      <c r="W6" t="n">
        <v>347852</v>
      </c>
      <c r="X6" t="n">
        <v>7351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4720</v>
      </c>
      <c r="C7" t="inlineStr">
        <is>
          <t>Dakota Energy Coop Inc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SD</t>
        </is>
      </c>
      <c r="H7" t="inlineStr">
        <is>
          <t>Cooperative</t>
        </is>
      </c>
      <c r="I7" t="inlineStr">
        <is>
          <t>WACM</t>
        </is>
      </c>
      <c r="J7" t="n">
        <v>9522.9</v>
      </c>
      <c r="K7" t="n">
        <v>62251</v>
      </c>
      <c r="L7" t="n">
        <v>3224</v>
      </c>
      <c r="M7" t="n">
        <v>4658.8</v>
      </c>
      <c r="N7" t="n">
        <v>47095</v>
      </c>
      <c r="O7" t="n">
        <v>406</v>
      </c>
      <c r="P7" t="n">
        <v>11976</v>
      </c>
      <c r="Q7" t="n">
        <v>154215</v>
      </c>
      <c r="R7" t="n">
        <v>8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26157.7</v>
      </c>
      <c r="W7" t="n">
        <v>263561</v>
      </c>
      <c r="X7" t="n">
        <v>3638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11475</v>
      </c>
      <c r="C8" t="inlineStr">
        <is>
          <t>City of Madison - (SD)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SD</t>
        </is>
      </c>
      <c r="H8" t="inlineStr">
        <is>
          <t>Municipal</t>
        </is>
      </c>
      <c r="I8" t="inlineStr">
        <is>
          <t>MISO</t>
        </is>
      </c>
      <c r="J8" t="n">
        <v>3819</v>
      </c>
      <c r="K8" t="n">
        <v>33251</v>
      </c>
      <c r="L8" t="n">
        <v>2802</v>
      </c>
      <c r="M8" t="n">
        <v>3261</v>
      </c>
      <c r="N8" t="n">
        <v>32470</v>
      </c>
      <c r="O8" t="n">
        <v>452</v>
      </c>
      <c r="P8" t="n">
        <v>2692</v>
      </c>
      <c r="Q8" t="n">
        <v>29176</v>
      </c>
      <c r="R8" t="n">
        <v>68</v>
      </c>
      <c r="S8" t="n">
        <v>0</v>
      </c>
      <c r="T8" t="n">
        <v>0</v>
      </c>
      <c r="U8" t="n">
        <v>0</v>
      </c>
      <c r="V8" t="n">
        <v>9772</v>
      </c>
      <c r="W8" t="n">
        <v>94897</v>
      </c>
      <c r="X8" t="n">
        <v>3322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12199</v>
      </c>
      <c r="C9" t="inlineStr">
        <is>
          <t>Montana-Dakota Utilities Co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SD</t>
        </is>
      </c>
      <c r="H9" t="inlineStr">
        <is>
          <t>Investor Owned</t>
        </is>
      </c>
      <c r="I9" t="inlineStr">
        <is>
          <t>MISO</t>
        </is>
      </c>
      <c r="J9" t="n">
        <v>9285</v>
      </c>
      <c r="K9" t="n">
        <v>63618</v>
      </c>
      <c r="L9" t="n">
        <v>6367</v>
      </c>
      <c r="M9" t="n">
        <v>8307</v>
      </c>
      <c r="N9" t="n">
        <v>64294</v>
      </c>
      <c r="O9" t="n">
        <v>2076</v>
      </c>
      <c r="P9" t="n">
        <v>522</v>
      </c>
      <c r="Q9" t="n">
        <v>4602</v>
      </c>
      <c r="R9" t="n">
        <v>8</v>
      </c>
      <c r="S9" t="n">
        <v>0</v>
      </c>
      <c r="T9" t="n">
        <v>0</v>
      </c>
      <c r="U9" t="n">
        <v>0</v>
      </c>
      <c r="V9" t="n">
        <v>18114</v>
      </c>
      <c r="W9" t="n">
        <v>132514</v>
      </c>
      <c r="X9" t="n">
        <v>8451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12341</v>
      </c>
      <c r="C10" t="inlineStr">
        <is>
          <t>MidAmerican Energy Co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SD</t>
        </is>
      </c>
      <c r="H10" t="inlineStr">
        <is>
          <t>Investor Owned</t>
        </is>
      </c>
      <c r="I10" t="inlineStr">
        <is>
          <t>MISO</t>
        </is>
      </c>
      <c r="J10" t="n">
        <v>4779.5</v>
      </c>
      <c r="K10" t="n">
        <v>55049</v>
      </c>
      <c r="L10" t="n">
        <v>4236</v>
      </c>
      <c r="M10" t="n">
        <v>4905</v>
      </c>
      <c r="N10" t="n">
        <v>64465</v>
      </c>
      <c r="O10" t="n">
        <v>1066</v>
      </c>
      <c r="P10" t="n">
        <v>10415.3</v>
      </c>
      <c r="Q10" t="n">
        <v>196938</v>
      </c>
      <c r="R10" t="n">
        <v>24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20099.8</v>
      </c>
      <c r="W10" t="n">
        <v>316452</v>
      </c>
      <c r="X10" t="n">
        <v>5326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13337</v>
      </c>
      <c r="C11" t="inlineStr">
        <is>
          <t>Nebraska Public Power District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SD</t>
        </is>
      </c>
      <c r="H11" t="inlineStr">
        <is>
          <t>Political Subdivision</t>
        </is>
      </c>
      <c r="I11" t="inlineStr">
        <is>
          <t>SWPP</t>
        </is>
      </c>
      <c r="J11" t="n">
        <v>1529</v>
      </c>
      <c r="K11" t="n">
        <v>15719</v>
      </c>
      <c r="L11" t="n">
        <v>1044</v>
      </c>
      <c r="M11" t="n">
        <v>1508</v>
      </c>
      <c r="N11" t="n">
        <v>20681</v>
      </c>
      <c r="O11" t="n">
        <v>236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3037</v>
      </c>
      <c r="W11" t="n">
        <v>36400</v>
      </c>
      <c r="X11" t="n">
        <v>1280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13750</v>
      </c>
      <c r="C12" t="inlineStr">
        <is>
          <t>Northern Electric Coop, Inc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SD</t>
        </is>
      </c>
      <c r="H12" t="inlineStr">
        <is>
          <t>Cooperative</t>
        </is>
      </c>
      <c r="I12" t="inlineStr">
        <is>
          <t>SWPP</t>
        </is>
      </c>
      <c r="J12" t="n">
        <v>15583.9</v>
      </c>
      <c r="K12" t="n">
        <v>138063</v>
      </c>
      <c r="L12" t="n">
        <v>5757</v>
      </c>
      <c r="M12" t="n">
        <v>5203.7</v>
      </c>
      <c r="N12" t="n">
        <v>52760</v>
      </c>
      <c r="O12" t="n">
        <v>883</v>
      </c>
      <c r="P12" t="n">
        <v>8866.9</v>
      </c>
      <c r="Q12" t="n">
        <v>104955</v>
      </c>
      <c r="R12" t="n">
        <v>248</v>
      </c>
      <c r="S12" t="n">
        <v>0</v>
      </c>
      <c r="T12" t="n">
        <v>0</v>
      </c>
      <c r="U12" t="n">
        <v>0</v>
      </c>
      <c r="V12" t="n">
        <v>29654.5</v>
      </c>
      <c r="W12" t="n">
        <v>295778</v>
      </c>
      <c r="X12" t="n">
        <v>6888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13781</v>
      </c>
      <c r="C13" t="inlineStr">
        <is>
          <t>Northern States Power Co - Minnesota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SD</t>
        </is>
      </c>
      <c r="H13" t="inlineStr">
        <is>
          <t>Investor Owned</t>
        </is>
      </c>
      <c r="I13" t="inlineStr">
        <is>
          <t>MISO</t>
        </is>
      </c>
      <c r="J13" t="n">
        <v>114326.5</v>
      </c>
      <c r="K13" t="n">
        <v>824522</v>
      </c>
      <c r="L13" t="n">
        <v>92204</v>
      </c>
      <c r="M13" t="n">
        <v>116870.1</v>
      </c>
      <c r="N13" t="n">
        <v>1016559</v>
      </c>
      <c r="O13" t="n">
        <v>13567</v>
      </c>
      <c r="P13" t="n">
        <v>37734.1</v>
      </c>
      <c r="Q13" t="n">
        <v>402544</v>
      </c>
      <c r="R13" t="n">
        <v>27</v>
      </c>
      <c r="S13" t="n">
        <v>0</v>
      </c>
      <c r="T13" t="n">
        <v>0</v>
      </c>
      <c r="U13" t="n">
        <v>0</v>
      </c>
      <c r="V13" t="n">
        <v>268930.7</v>
      </c>
      <c r="W13" t="n">
        <v>2243625</v>
      </c>
      <c r="X13" t="n">
        <v>105798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13809</v>
      </c>
      <c r="C14" t="inlineStr">
        <is>
          <t>NorthWestern Energy - (SD)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SD</t>
        </is>
      </c>
      <c r="H14" t="inlineStr">
        <is>
          <t>Investor Owned</t>
        </is>
      </c>
      <c r="I14" t="inlineStr">
        <is>
          <t>SWPP</t>
        </is>
      </c>
      <c r="J14" t="n">
        <v>70012</v>
      </c>
      <c r="K14" t="n">
        <v>557457</v>
      </c>
      <c r="L14" t="n">
        <v>51467</v>
      </c>
      <c r="M14" t="n">
        <v>80339</v>
      </c>
      <c r="N14" t="n">
        <v>668834</v>
      </c>
      <c r="O14" t="n">
        <v>13444</v>
      </c>
      <c r="P14" t="n">
        <v>34748</v>
      </c>
      <c r="Q14" t="n">
        <v>438660</v>
      </c>
      <c r="R14" t="n">
        <v>60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185099</v>
      </c>
      <c r="W14" t="n">
        <v>1664951</v>
      </c>
      <c r="X14" t="n">
        <v>64971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14232</v>
      </c>
      <c r="C15" t="inlineStr">
        <is>
          <t>Otter Tail Power Co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SD</t>
        </is>
      </c>
      <c r="H15" t="inlineStr">
        <is>
          <t>Investor Owned</t>
        </is>
      </c>
      <c r="I15" t="inlineStr">
        <is>
          <t>MISO</t>
        </is>
      </c>
      <c r="J15" t="n">
        <v>12136.7</v>
      </c>
      <c r="K15" t="n">
        <v>111064</v>
      </c>
      <c r="L15" t="n">
        <v>9048</v>
      </c>
      <c r="M15" t="n">
        <v>28273.5</v>
      </c>
      <c r="N15" t="n">
        <v>385612</v>
      </c>
      <c r="O15" t="n">
        <v>2911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40410.2</v>
      </c>
      <c r="W15" t="n">
        <v>496676</v>
      </c>
      <c r="X15" t="n">
        <v>11959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15040</v>
      </c>
      <c r="C16" t="inlineStr">
        <is>
          <t>City of Pierre - (SD)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SD</t>
        </is>
      </c>
      <c r="H16" t="inlineStr">
        <is>
          <t>Municipal</t>
        </is>
      </c>
      <c r="I16" t="inlineStr">
        <is>
          <t>SWPP</t>
        </is>
      </c>
      <c r="J16" t="n">
        <v>6899</v>
      </c>
      <c r="K16" t="n">
        <v>64789</v>
      </c>
      <c r="L16" t="n">
        <v>6126</v>
      </c>
      <c r="M16" t="n">
        <v>2859.4</v>
      </c>
      <c r="N16" t="n">
        <v>24901</v>
      </c>
      <c r="O16" t="n">
        <v>1038</v>
      </c>
      <c r="P16" t="n">
        <v>5115.6</v>
      </c>
      <c r="Q16" t="n">
        <v>69568</v>
      </c>
      <c r="R16" t="n">
        <v>163</v>
      </c>
      <c r="S16" t="n">
        <v>0</v>
      </c>
      <c r="T16" t="n">
        <v>0</v>
      </c>
      <c r="U16" t="n">
        <v>0</v>
      </c>
      <c r="V16" t="n">
        <v>14874</v>
      </c>
      <c r="W16" t="n">
        <v>159258</v>
      </c>
      <c r="X16" t="n">
        <v>7327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16286</v>
      </c>
      <c r="C17" t="inlineStr">
        <is>
          <t>Rosebud Electric Coop Inc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SD</t>
        </is>
      </c>
      <c r="H17" t="inlineStr">
        <is>
          <t>Cooperative</t>
        </is>
      </c>
      <c r="I17" t="inlineStr">
        <is>
          <t>SWPP</t>
        </is>
      </c>
      <c r="J17" t="n">
        <v>6767.4</v>
      </c>
      <c r="K17" t="n">
        <v>63650</v>
      </c>
      <c r="L17" t="n">
        <v>4856</v>
      </c>
      <c r="M17" t="n">
        <v>2139.1</v>
      </c>
      <c r="N17" t="n">
        <v>23349</v>
      </c>
      <c r="O17" t="n">
        <v>760</v>
      </c>
      <c r="P17" t="n">
        <v>77.59999999999999</v>
      </c>
      <c r="Q17" t="n">
        <v>757</v>
      </c>
      <c r="R17" t="n">
        <v>21</v>
      </c>
      <c r="S17" t="n">
        <v>0</v>
      </c>
      <c r="T17" t="n">
        <v>0</v>
      </c>
      <c r="U17" t="n">
        <v>0</v>
      </c>
      <c r="V17" t="n">
        <v>8984.1</v>
      </c>
      <c r="W17" t="n">
        <v>87756</v>
      </c>
      <c r="X17" t="n">
        <v>5637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17267</v>
      </c>
      <c r="C18" t="inlineStr">
        <is>
          <t>Sioux Valley SW Elec Coop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SD</t>
        </is>
      </c>
      <c r="H18" t="inlineStr">
        <is>
          <t>Cooperative</t>
        </is>
      </c>
      <c r="I18" t="inlineStr">
        <is>
          <t>SWPP</t>
        </is>
      </c>
      <c r="J18" t="n">
        <v>42731.4</v>
      </c>
      <c r="K18" t="n">
        <v>330339</v>
      </c>
      <c r="L18" t="n">
        <v>22213</v>
      </c>
      <c r="M18" t="n">
        <v>7691.5</v>
      </c>
      <c r="N18" t="n">
        <v>49192</v>
      </c>
      <c r="O18" t="n">
        <v>2530</v>
      </c>
      <c r="P18" t="n">
        <v>35540.8</v>
      </c>
      <c r="Q18" t="n">
        <v>408323</v>
      </c>
      <c r="R18" t="n">
        <v>546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85963.7</v>
      </c>
      <c r="W18" t="n">
        <v>787854</v>
      </c>
      <c r="X18" t="n">
        <v>25289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19293</v>
      </c>
      <c r="C19" t="inlineStr">
        <is>
          <t>Southeastern Electric Coop Inc - (SD)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SD</t>
        </is>
      </c>
      <c r="H19" t="inlineStr">
        <is>
          <t>Cooperative</t>
        </is>
      </c>
      <c r="I19" t="inlineStr">
        <is>
          <t>SWPP</t>
        </is>
      </c>
      <c r="J19" t="n">
        <v>33864.5</v>
      </c>
      <c r="K19" t="n">
        <v>272917</v>
      </c>
      <c r="L19" t="n">
        <v>20160</v>
      </c>
      <c r="M19" t="n">
        <v>21187.7</v>
      </c>
      <c r="N19" t="n">
        <v>207515</v>
      </c>
      <c r="O19" t="n">
        <v>2996</v>
      </c>
      <c r="P19" t="n">
        <v>26822.8</v>
      </c>
      <c r="Q19" t="n">
        <v>331265</v>
      </c>
      <c r="R19" t="n">
        <v>280</v>
      </c>
      <c r="S19" t="n">
        <v>0</v>
      </c>
      <c r="T19" t="n">
        <v>0</v>
      </c>
      <c r="U19" t="n">
        <v>0</v>
      </c>
      <c r="V19" t="n">
        <v>81875</v>
      </c>
      <c r="W19" t="n">
        <v>811697</v>
      </c>
      <c r="X19" t="n">
        <v>23436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19545</v>
      </c>
      <c r="C20" t="inlineStr">
        <is>
          <t>Black Hills Power, Inc.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SD</t>
        </is>
      </c>
      <c r="H20" t="inlineStr">
        <is>
          <t>Investor Owned</t>
        </is>
      </c>
      <c r="I20" t="inlineStr">
        <is>
          <t>WACM</t>
        </is>
      </c>
      <c r="J20" t="n">
        <v>80614.8</v>
      </c>
      <c r="K20" t="n">
        <v>560837</v>
      </c>
      <c r="L20" t="n">
        <v>60951</v>
      </c>
      <c r="M20" t="n">
        <v>102789.6</v>
      </c>
      <c r="N20" t="n">
        <v>779797</v>
      </c>
      <c r="O20" t="n">
        <v>13885</v>
      </c>
      <c r="P20" t="n">
        <v>18098.8</v>
      </c>
      <c r="Q20" t="n">
        <v>191926</v>
      </c>
      <c r="R20" t="n">
        <v>6</v>
      </c>
      <c r="S20" t="n">
        <v>0</v>
      </c>
      <c r="T20" t="n">
        <v>0</v>
      </c>
      <c r="U20" t="n">
        <v>0</v>
      </c>
      <c r="V20" t="n">
        <v>201503.2</v>
      </c>
      <c r="W20" t="n">
        <v>1532560</v>
      </c>
      <c r="X20" t="n">
        <v>74842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19896</v>
      </c>
      <c r="C21" t="inlineStr">
        <is>
          <t>City of Volga - (SD)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SD</t>
        </is>
      </c>
      <c r="H21" t="inlineStr">
        <is>
          <t>Municipal</t>
        </is>
      </c>
      <c r="I21" t="inlineStr">
        <is>
          <t>SWPP</t>
        </is>
      </c>
      <c r="J21" t="n">
        <v>1483.9</v>
      </c>
      <c r="K21" t="n">
        <v>11591</v>
      </c>
      <c r="L21" t="n">
        <v>1075</v>
      </c>
      <c r="M21" t="n">
        <v>216.8</v>
      </c>
      <c r="N21" t="n">
        <v>1700</v>
      </c>
      <c r="O21" t="n">
        <v>148</v>
      </c>
      <c r="P21" t="n">
        <v>4283.9</v>
      </c>
      <c r="Q21" t="n">
        <v>51558</v>
      </c>
      <c r="R21" t="n">
        <v>43</v>
      </c>
      <c r="S21" t="n">
        <v>0</v>
      </c>
      <c r="T21" t="n">
        <v>0</v>
      </c>
      <c r="U21" t="n">
        <v>0</v>
      </c>
      <c r="V21" t="n">
        <v>5984.6</v>
      </c>
      <c r="W21" t="n">
        <v>64849</v>
      </c>
      <c r="X21" t="n">
        <v>1266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20187</v>
      </c>
      <c r="C22" t="inlineStr">
        <is>
          <t>Watertown Municipal Utilities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SD</t>
        </is>
      </c>
      <c r="H22" t="inlineStr">
        <is>
          <t>Municipal</t>
        </is>
      </c>
      <c r="I22" t="inlineStr">
        <is>
          <t>SWPP</t>
        </is>
      </c>
      <c r="J22" t="n">
        <v>11115</v>
      </c>
      <c r="K22" t="n">
        <v>119500</v>
      </c>
      <c r="L22" t="n">
        <v>11633</v>
      </c>
      <c r="M22" t="n">
        <v>11065</v>
      </c>
      <c r="N22" t="n">
        <v>128940</v>
      </c>
      <c r="O22" t="n">
        <v>2579</v>
      </c>
      <c r="P22" t="n">
        <v>10216</v>
      </c>
      <c r="Q22" t="n">
        <v>141558</v>
      </c>
      <c r="R22" t="n">
        <v>96</v>
      </c>
      <c r="S22" t="n">
        <v>0</v>
      </c>
      <c r="T22" t="n">
        <v>0</v>
      </c>
      <c r="U22" t="n">
        <v>0</v>
      </c>
      <c r="V22" t="n">
        <v>32396</v>
      </c>
      <c r="W22" t="n">
        <v>389998</v>
      </c>
      <c r="X22" t="n">
        <v>14308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20401</v>
      </c>
      <c r="C23" t="inlineStr">
        <is>
          <t>West River Electric Assn Inc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SD</t>
        </is>
      </c>
      <c r="H23" t="inlineStr">
        <is>
          <t>Cooperative</t>
        </is>
      </c>
      <c r="I23" t="inlineStr">
        <is>
          <t>SWPP</t>
        </is>
      </c>
      <c r="J23" t="n">
        <v>28264</v>
      </c>
      <c r="K23" t="n">
        <v>198316</v>
      </c>
      <c r="L23" t="n">
        <v>18423</v>
      </c>
      <c r="M23" t="n">
        <v>13356</v>
      </c>
      <c r="N23" t="n">
        <v>102611</v>
      </c>
      <c r="O23" t="n">
        <v>2228</v>
      </c>
      <c r="P23" t="n">
        <v>3797</v>
      </c>
      <c r="Q23" t="n">
        <v>36394</v>
      </c>
      <c r="R23" t="n">
        <v>23</v>
      </c>
      <c r="S23" t="n">
        <v>0</v>
      </c>
      <c r="T23" t="n">
        <v>0</v>
      </c>
      <c r="U23" t="n">
        <v>0</v>
      </c>
      <c r="V23" t="n">
        <v>45417</v>
      </c>
      <c r="W23" t="n">
        <v>337321</v>
      </c>
      <c r="X23" t="n">
        <v>20674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27000</v>
      </c>
      <c r="C24" t="inlineStr">
        <is>
          <t>WAPA-- Western Area Power Administration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SD</t>
        </is>
      </c>
      <c r="H24" t="inlineStr">
        <is>
          <t>Federal</t>
        </is>
      </c>
      <c r="I24" t="inlineStr">
        <is>
          <t>WACM</t>
        </is>
      </c>
      <c r="J24" t="n">
        <v>0</v>
      </c>
      <c r="K24" t="n">
        <v>0</v>
      </c>
      <c r="L24" t="n">
        <v>0</v>
      </c>
      <c r="M24" t="n">
        <v>9483.6</v>
      </c>
      <c r="N24" t="n">
        <v>341375</v>
      </c>
      <c r="O24" t="n">
        <v>19</v>
      </c>
      <c r="P24" t="n">
        <v>55.4</v>
      </c>
      <c r="Q24" t="n">
        <v>2987</v>
      </c>
      <c r="R24" t="n">
        <v>3</v>
      </c>
      <c r="S24" t="n">
        <v>0</v>
      </c>
      <c r="T24" t="n">
        <v>0</v>
      </c>
      <c r="U24" t="n">
        <v>0</v>
      </c>
      <c r="V24" t="n">
        <v>9539</v>
      </c>
      <c r="W24" t="n">
        <v>344362</v>
      </c>
      <c r="X24" t="n">
        <v>22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99999</v>
      </c>
      <c r="C25" t="inlineStr">
        <is>
          <t>Adjustment 2024</t>
        </is>
      </c>
      <c r="D25" t="inlineStr">
        <is>
          <t>A</t>
        </is>
      </c>
      <c r="E25" t="inlineStr">
        <is>
          <t>Bundled</t>
        </is>
      </c>
      <c r="F25" t="inlineStr">
        <is>
          <t>I</t>
        </is>
      </c>
      <c r="G25" t="inlineStr">
        <is>
          <t>SD</t>
        </is>
      </c>
      <c r="H25" t="inlineStr"/>
      <c r="I25" t="inlineStr">
        <is>
          <t>WACM</t>
        </is>
      </c>
      <c r="J25" t="n">
        <v>28030.1</v>
      </c>
      <c r="K25" t="n">
        <v>213102</v>
      </c>
      <c r="L25" t="n">
        <v>15270</v>
      </c>
      <c r="M25" t="n">
        <v>13302</v>
      </c>
      <c r="N25" t="n">
        <v>121237</v>
      </c>
      <c r="O25" t="n">
        <v>1846</v>
      </c>
      <c r="P25" t="n">
        <v>9839.6</v>
      </c>
      <c r="Q25" t="n">
        <v>115653</v>
      </c>
      <c r="R25" t="n">
        <v>298</v>
      </c>
      <c r="S25" t="n">
        <v>0</v>
      </c>
      <c r="T25" t="n">
        <v>0</v>
      </c>
      <c r="U25" t="n">
        <v>0</v>
      </c>
      <c r="V25" t="n">
        <v>51171.7</v>
      </c>
      <c r="W25" t="n">
        <v>449992</v>
      </c>
      <c r="X25" t="n">
        <v>17414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99999</v>
      </c>
      <c r="C26" t="inlineStr">
        <is>
          <t>Adjustment 2024</t>
        </is>
      </c>
      <c r="D26" t="inlineStr">
        <is>
          <t>A</t>
        </is>
      </c>
      <c r="E26" t="inlineStr">
        <is>
          <t>Bundled</t>
        </is>
      </c>
      <c r="F26" t="inlineStr">
        <is>
          <t>I</t>
        </is>
      </c>
      <c r="G26" t="inlineStr">
        <is>
          <t>SD</t>
        </is>
      </c>
      <c r="H26" t="inlineStr"/>
      <c r="I26" t="inlineStr">
        <is>
          <t>MISO</t>
        </is>
      </c>
      <c r="J26" t="n">
        <v>4551</v>
      </c>
      <c r="K26" t="n">
        <v>34038</v>
      </c>
      <c r="L26" t="n">
        <v>4040</v>
      </c>
      <c r="M26" t="n">
        <v>12259.8</v>
      </c>
      <c r="N26" t="n">
        <v>111810</v>
      </c>
      <c r="O26" t="n">
        <v>1404</v>
      </c>
      <c r="P26" t="n">
        <v>784.1</v>
      </c>
      <c r="Q26" t="n">
        <v>8883</v>
      </c>
      <c r="R26" t="n">
        <v>12</v>
      </c>
      <c r="S26" t="n">
        <v>0</v>
      </c>
      <c r="T26" t="n">
        <v>0</v>
      </c>
      <c r="U26" t="n">
        <v>0</v>
      </c>
      <c r="V26" t="n">
        <v>17594.9</v>
      </c>
      <c r="W26" t="n">
        <v>154731</v>
      </c>
      <c r="X26" t="n">
        <v>5456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99999</v>
      </c>
      <c r="C27" t="inlineStr">
        <is>
          <t>Adjustment 2024</t>
        </is>
      </c>
      <c r="D27" t="inlineStr">
        <is>
          <t>A</t>
        </is>
      </c>
      <c r="E27" t="inlineStr">
        <is>
          <t>Bundled</t>
        </is>
      </c>
      <c r="F27" t="inlineStr">
        <is>
          <t>I</t>
        </is>
      </c>
      <c r="G27" t="inlineStr">
        <is>
          <t>SD</t>
        </is>
      </c>
      <c r="H27" t="inlineStr"/>
      <c r="I27" t="inlineStr">
        <is>
          <t>SWPP</t>
        </is>
      </c>
      <c r="J27" t="n">
        <v>134494.1</v>
      </c>
      <c r="K27" t="n">
        <v>1100435</v>
      </c>
      <c r="L27" t="n">
        <v>66398</v>
      </c>
      <c r="M27" t="n">
        <v>76386.39999999999</v>
      </c>
      <c r="N27" t="n">
        <v>763642</v>
      </c>
      <c r="O27" t="n">
        <v>9577</v>
      </c>
      <c r="P27" t="n">
        <v>23360.1</v>
      </c>
      <c r="Q27" t="n">
        <v>278068</v>
      </c>
      <c r="R27" t="n">
        <v>1939</v>
      </c>
      <c r="S27" t="n">
        <v>0</v>
      </c>
      <c r="T27" t="n">
        <v>0</v>
      </c>
      <c r="U27" t="n">
        <v>0</v>
      </c>
      <c r="V27" t="n">
        <v>234240.6</v>
      </c>
      <c r="W27" t="n">
        <v>2142145</v>
      </c>
      <c r="X27" t="n">
        <v>77914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SD</t>
        </is>
      </c>
      <c r="B2">
        <f>SUMIFS('EIA-861 Sales 2024'!$Y$4:$Y$27,'EIA-861 Sales 2024'!$Z$4:$Z$27,"cost_service")</f>
        <v/>
      </c>
      <c r="C2">
        <f>SUMIFS('EIA-861 Sales 2024'!$Y$4:$Y$27,'EIA-861 Sales 2024'!$Z$4:$Z$27,"procurement")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2026-06-02T20:15:32Z</dcterms:created>
  <dcterms:modified xmlns:dcterms="http://purl.org/dc/terms/" xmlns:xsi="http://www.w3.org/2001/XMLSchema-instance" xsi:type="dcterms:W3CDTF">2026-06-02T20:15:32Z</dcterms:modified>
</cp:coreProperties>
</file>