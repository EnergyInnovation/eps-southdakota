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Source_V001_Compensation" sheetId="3" state="visible" r:id="rId3"/>
    <sheet name="1b_Source_ValueAdded_full" sheetId="4" state="visible" r:id="rId4"/>
    <sheet name="Src_Stateior_SoI_Make" sheetId="5" state="visible" r:id="rId5"/>
    <sheet name="Src_Disagg_EIA_coal" sheetId="6" state="visible" r:id="rId6"/>
    <sheet name="Src_Disagg_heuristics" sheetId="7" state="visible" r:id="rId7"/>
    <sheet name="Crosswalk_BEA_to_ISIC" sheetId="8" state="visible" r:id="rId8"/>
    <sheet name="State_disagg_splits" sheetId="9" state="visible" r:id="rId9"/>
    <sheet name="NAICS_to_ISIC_Key" sheetId="10" state="visible" r:id="rId10"/>
    <sheet name="5_Calc_ISIC_aggregation" sheetId="11" state="visible" r:id="rId11"/>
    <sheet name="BECbIC" sheetId="12" state="visible" r:id="rId12"/>
  </sheets>
  <calcPr calcId="191029" fullCalcOnLoad="1"/>
</workbook>
</file>

<file path=xl/sharedStrings.xml><?xml version="1.0" encoding="utf-8"?>
<sst xmlns="http://schemas.openxmlformats.org/spreadsheetml/2006/main" count="577" uniqueCount="577">
  <si>
    <t xml:space="preserve">BECbIC - BAU Employee Compensation by ISIC Code</t>
  </si>
  <si>
    <t xml:space="preserve"/>
  </si>
  <si>
    <t xml:space="preserve">State: South Dakota (SD)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</si>
  <si>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</si>
  <si>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</si>
  <si>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</si>
  <si>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Employee compensation by ISIC is the V001 row of stateior's</t>
  </si>
  <si>
    <t xml:space="preserve">ValueAdded component per industry, aggregated to 42 ISIC using the</t>
  </si>
  <si>
    <t xml:space="preserve">canonical BEA-to-ISIC crosswalk.</t>
  </si>
  <si>
    <t xml:space="preserve">Deflated from nominal 2019 USD to 2012 USD.</t>
  </si>
  <si>
    <t xml:space="preserve">In-workbook derivation</t>
  </si>
  <si>
    <t xml:space="preserve">----------------------</t>
  </si>
  <si>
    <t xml:space="preserve">The output tab is computed by Excel formulas, not pasted values. On the calc</t>
  </si>
  <si>
    <t xml:space="preserve">tab, STEP 1 pulls each BEA Summary value from the source tab via INDEX/MATCH</t>
  </si>
  <si>
    <t xml:space="preserve">and multiplies it by that mapping's allocation weight; STEP 2 SUMIFS the</t>
  </si>
  <si>
    <t xml:space="preserve">weighted values to the 42 ISIC codes and divides by the deflator (Keys!$C$2)</t>
  </si>
  <si>
    <t xml:space="preserve">to express the result in 2012 USD. Edit any source or Keys cell and the</t>
  </si>
  <si>
    <t xml:space="preserve">output recomputes.</t>
  </si>
  <si>
    <t xml:space="preserve">Allocation weights (the BEA -&gt; ISIC crosswalk)</t>
  </si>
  <si>
    <t xml:space="preserve">----------------------------------------------</t>
  </si>
  <si>
    <t xml:space="preserve">Each BEA Summary sector's value is mapped to the 42-ISIC scheme via the</t>
  </si>
  <si>
    <t xml:space="preserve">'2_Crosswalk_BEA_to_ISIC' tab. allocation_weight (STEP 1, column C of the</t>
  </si>
  <si>
    <t xml:space="preserve">calc tab) is the fraction of a BEA sector assigned to each ISIC code; the</t>
  </si>
  <si>
    <t xml:space="preserve">weights for any one BEA code always sum to 1.0.</t>
  </si>
  <si>
    <t xml:space="preserve">Most BEA codes map 1:1 to a single ISIC with weight = 1.0 - a definitional</t>
  </si>
  <si>
    <t xml:space="preserve">mapping, not an assumption. Seven BEA sectors are SPLIT across multiple ISIC</t>
  </si>
  <si>
    <t xml:space="preserve">codes, in two groups:</t>
  </si>
  <si>
    <t xml:space="preserve">A. State-specific, data-derived splits - recomputed for each state (see the</t>
  </si>
  <si>
    <t xml:space="preserve">   '3_State_disagg_splits' tab for the ratio + data source used for THIS</t>
  </si>
  <si>
    <t xml:space="preserve">   state, and its provenance):</t>
  </si>
  <si>
    <t xml:space="preserve">     212 mining         -&gt; 05 coal + 07T08 other mining.</t>
  </si>
  <si>
    <t xml:space="preserve">         weight = coal / (coal + nonfuel) mine value, from EIA-7A coal +</t>
  </si>
  <si>
    <t xml:space="preserve">         USGS Minerals Yearbook nonfuel production value, each deflated to</t>
  </si>
  <si>
    <t xml:space="preserve">         2012 USD so the ratio is vintage-consistent.</t>
  </si>
  <si>
    <t xml:space="preserve">     325 chemicals      -&gt; 20 basic chemicals + 21 pharmaceuticals</t>
  </si>
  <si>
    <t xml:space="preserve">     327 nonmetallic    -&gt; 231 glass + 239 cement/other</t>
  </si>
  <si>
    <t xml:space="preserve">     331 primary metals -&gt; 241 iron &amp; steel + 242 other metals</t>
  </si>
  <si>
    <t xml:space="preserve">         (325/327/331: Census ASM value-added shares where available, else</t>
  </si>
  <si>
    <t xml:space="preserve">          EPA GHGRP facility/emissions proxies, else documented heuristics.)</t>
  </si>
  <si>
    <t xml:space="preserve">B. Fixed national splits - the same weights for every state, carried in the</t>
  </si>
  <si>
    <t xml:space="preserve">   base crosswalk (not state-specific):</t>
  </si>
  <si>
    <t xml:space="preserve">     22  utilities                  -&gt; 351 power + 352T353 gas + 36T39 water</t>
  </si>
  <si>
    <t xml:space="preserve">     324 petroleum &amp; coal products  -&gt; 19 refining + 241 iron &amp; steel (coke)</t>
  </si>
  <si>
    <t xml:space="preserve">     513 information                -&gt; 58T60 media + 61 telecommunications</t>
  </si>
  <si>
    <t xml:space="preserve">So the ISIC detail is only as fine as these weights: group-A weights carry</t>
  </si>
  <si>
    <t xml:space="preserve">this state's industry mix; group-B weights are national constants.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</si>
  <si>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</si>
  <si>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</si>
  <si>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</si>
  <si>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</si>
  <si>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</si>
  <si>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</si>
  <si>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</si>
  <si>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</si>
  <si>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</si>
  <si>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</si>
  <si>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</si>
  <si>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</si>
  <si>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</si>
  <si>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</si>
  <si>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</si>
  <si>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</si>
  <si>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</si>
  <si>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</si>
  <si>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</si>
  <si>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</si>
  <si>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</si>
  <si>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</si>
  <si>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</si>
  <si>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</si>
  <si>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</si>
  <si>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</si>
  <si>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</si>
  <si>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</si>
  <si>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</si>
  <si>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</si>
  <si>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</si>
  <si>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</si>
  <si>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</si>
  <si>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</si>
  <si>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</si>
  <si>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</si>
  <si>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</si>
  <si>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</si>
  <si>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</si>
  <si>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</si>
  <si>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</si>
  <si>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</si>
  <si>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</si>
  <si>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</si>
  <si>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</si>
  <si>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</si>
  <si>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</si>
  <si>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</si>
  <si>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</si>
  <si>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</si>
  <si>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</si>
  <si>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</si>
  <si>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</si>
  <si>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1_Source_V001_Compensation</t>
  </si>
  <si>
    <t xml:space="preserve">  3. 1b_Source_ValueAdded_full - full V001/V002/V003 matrix for context</t>
  </si>
  <si>
    <t xml:space="preserve">  4. Src_Stateior_SoI_Make - full 71x73 state SoI Make matrix (raw)</t>
  </si>
  <si>
    <t xml:space="preserve">  5. Src_Disagg_EIA_coal - raw EIA-7A 2019 coal production for all 51 states</t>
  </si>
  <si>
    <t xml:space="preserve">  6. Src_Disagg_heuristics - 327/331/325 hand-curated fallback tables</t>
  </si>
  <si>
    <t xml:space="preserve">  7. 2_Crosswalk_BEA_to_ISIC</t>
  </si>
  <si>
    <t xml:space="preserve">  8. 3_State_disagg_splits</t>
  </si>
  <si>
    <t xml:space="preserve">  9. 4_NAICS_to_ISIC_Key</t>
  </si>
  <si>
    <t xml:space="preserve">  10. 5_Calc_ISIC_aggregation</t>
  </si>
  <si>
    <t xml:space="preserve">  11. BECbIC - final compensation vector (matches BECbIC.csv)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</si>
  <si>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</si>
  <si>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</si>
  <si>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</si>
  <si>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</si>
  <si>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</si>
  <si>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</si>
  <si>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</si>
  <si>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</si>
  <si>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</si>
  <si>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</si>
  <si>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</si>
  <si>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</si>
  <si>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</si>
  <si>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</si>
  <si>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</si>
  <si>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</si>
  <si>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comp_USD_2019nominal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</si>
  <si>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</si>
  <si>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</si>
  <si>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</si>
  <si>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</si>
  <si>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</si>
  <si>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</si>
  <si>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</si>
  <si>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</si>
  <si>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</si>
  <si>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</si>
  <si>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</si>
  <si>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</si>
  <si>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</si>
  <si>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</si>
  <si>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</si>
  <si>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</si>
  <si>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</si>
  <si>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</si>
  <si>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</si>
  <si>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</si>
  <si>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</si>
  <si>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</si>
  <si>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</si>
  <si>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</si>
  <si>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</si>
  <si>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</si>
  <si>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</si>
  <si>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</si>
  <si>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</si>
  <si>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</si>
  <si>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</si>
  <si>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</si>
  <si>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</si>
  <si>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</si>
  <si>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</si>
  <si>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</si>
  <si>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</si>
  <si>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</si>
  <si>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</si>
  <si>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</si>
  <si>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</si>
  <si>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</si>
  <si>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</si>
  <si>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</si>
  <si>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</si>
  <si>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</si>
  <si>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</si>
  <si>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</si>
  <si>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</si>
  <si>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</si>
  <si>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</si>
  <si>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</si>
  <si>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</si>
  <si>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</si>
  <si>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</si>
  <si>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</si>
  <si>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</si>
  <si>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</si>
  <si>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</si>
  <si>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</si>
  <si>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</si>
  <si>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</si>
  <si>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</si>
  <si>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</si>
  <si>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</si>
  <si>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</si>
  <si>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</si>
  <si>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</si>
  <si>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</si>
  <si>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</si>
  <si>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</si>
  <si>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VA_row (V001-V003)</t>
  </si>
  <si>
    <t xml:space="preserve">V001</t>
  </si>
  <si>
    <t xml:space="preserve">V002</t>
  </si>
  <si>
    <t xml:space="preserve">V003</t>
  </si>
  <si>
    <t xml:space="preserve">State-of-Interest Make matrix (V) at BEA Summary resolution, from EPA</t>
  </si>
  <si>
    <t xml:space="preserve">stateior's two-region MRIO build for this state and base year. Rows =</t>
  </si>
  <si>
    <t xml:space="preserve">industries, columns = commodities. Values are in nominal 2019 USD as</t>
  </si>
  <si>
    <t xml:space="preserve">emitted by stateior. This is the raw input aggregated to 42 ISIC for</t>
  </si>
  <si>
    <t xml:space="preserve">the final output in this workbook.</t>
  </si>
  <si>
    <t xml:space="preserve">industry</t>
  </si>
  <si>
    <t xml:space="preserve">Used</t>
  </si>
  <si>
    <t xml:space="preserve">Other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</si>
  <si>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</si>
  <si>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</si>
  <si>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</si>
  <si>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SD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</si>
  <si>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</si>
  <si>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</si>
  <si>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</si>
  <si>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</si>
  <si>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</si>
  <si>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</si>
  <si>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</si>
  <si>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</si>
  <si>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</si>
  <si>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</si>
  <si>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</si>
  <si>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</si>
  <si>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</si>
  <si>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</si>
  <si>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</si>
  <si>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</si>
  <si>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</si>
  <si>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</si>
  <si>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</si>
  <si>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</si>
  <si>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</si>
  <si>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</si>
  <si>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</si>
  <si>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</si>
  <si>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</si>
  <si>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</si>
  <si>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</si>
  <si>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</si>
  <si>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</si>
  <si>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</si>
  <si>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</si>
  <si>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</si>
  <si>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</si>
  <si>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</si>
  <si>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</si>
  <si>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</si>
  <si>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</si>
  <si>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</si>
  <si>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</si>
  <si>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</si>
  <si>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</si>
  <si>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</si>
  <si>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</si>
  <si>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</si>
  <si>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</si>
  <si>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</si>
  <si>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</si>
  <si>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</si>
  <si>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</si>
  <si>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</si>
  <si>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</si>
  <si>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</si>
  <si>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</si>
  <si>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</si>
  <si>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</si>
  <si>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</si>
  <si>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</si>
  <si>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</si>
  <si>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</si>
  <si>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</si>
  <si>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</si>
  <si>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</si>
  <si>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</si>
  <si>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</si>
  <si>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</si>
  <si>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</si>
  <si>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</si>
  <si>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</si>
  <si>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</si>
  <si>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</si>
  <si>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</si>
  <si>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</si>
  <si>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</si>
  <si>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</si>
  <si>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</si>
  <si>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</si>
  <si>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</si>
  <si>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</si>
  <si>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</si>
  <si>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</si>
  <si>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</si>
  <si>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</si>
  <si>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</si>
  <si>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</si>
  <si>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</si>
  <si>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</si>
  <si>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</si>
  <si>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</si>
  <si>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</si>
  <si>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</si>
  <si>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</si>
  <si>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</si>
  <si>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</si>
  <si>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</si>
  <si>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</si>
  <si>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</si>
  <si>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</si>
  <si>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</si>
  <si>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SD.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</si>
  <si>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</si>
  <si>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</si>
  <si>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</si>
  <si>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</si>
  <si>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</si>
  <si>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</si>
  <si>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</si>
  <si>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</si>
  <si>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</si>
  <si>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</si>
  <si>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</si>
  <si>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</si>
  <si>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</si>
  <si>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</si>
  <si>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</si>
  <si>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</si>
  <si>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</si>
  <si>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</si>
  <si>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</si>
  <si>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</si>
  <si>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</si>
  <si>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</si>
  <si>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</si>
  <si>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</si>
  <si>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</si>
  <si>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</si>
  <si>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</si>
  <si>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</si>
  <si>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</si>
  <si>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</si>
  <si>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</si>
  <si>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</si>
  <si>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</si>
  <si>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</si>
  <si>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</si>
  <si>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</si>
  <si>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</si>
  <si>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</si>
  <si>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</si>
  <si>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</si>
  <si>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</si>
  <si>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</si>
  <si>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</si>
  <si>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</si>
  <si>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</si>
  <si>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</si>
  <si>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</si>
  <si>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</si>
  <si>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</si>
  <si>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</si>
  <si>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</si>
  <si>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</si>
  <si>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</si>
  <si>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</si>
  <si>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</si>
  <si>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</si>
  <si>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</si>
  <si>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</si>
  <si>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</si>
  <si>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</si>
  <si>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</si>
  <si>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</si>
  <si>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</si>
  <si>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</si>
  <si>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</si>
  <si>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</si>
  <si>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</si>
  <si>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</si>
  <si>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</si>
  <si>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</si>
  <si>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</si>
  <si>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</si>
  <si>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</si>
  <si>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</si>
  <si>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</si>
  <si>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</si>
  <si>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</si>
  <si>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</si>
  <si>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</si>
  <si>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</si>
  <si>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</si>
  <si>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</si>
  <si>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</si>
  <si>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</si>
  <si>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</si>
  <si>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</si>
  <si>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</si>
  <si>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</si>
  <si>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</si>
  <si>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</si>
  <si>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</si>
  <si>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</si>
  <si>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</si>
  <si>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</si>
  <si>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</si>
  <si>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</si>
  <si>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</si>
  <si>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</si>
  <si>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</si>
  <si>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</si>
  <si>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</si>
  <si>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</si>
  <si>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</si>
  <si>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</si>
  <si>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</si>
  <si>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</si>
  <si>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</si>
  <si>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</si>
  <si>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</si>
  <si>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</si>
  <si>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</si>
  <si>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</si>
  <si>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</si>
  <si>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</si>
  <si>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</si>
  <si>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</si>
  <si>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</si>
  <si>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</si>
  <si>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</si>
  <si>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</si>
  <si>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</si>
  <si>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</si>
  <si>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</si>
  <si>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</si>
  <si>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</si>
  <si>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</si>
  <si>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</si>
  <si>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</si>
  <si>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</si>
  <si>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</si>
  <si>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</si>
  <si>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</si>
  <si>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</si>
  <si>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</si>
  <si>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</si>
  <si>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</si>
  <si>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</si>
  <si>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</si>
  <si>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</si>
  <si>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</si>
  <si>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</si>
  <si>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</si>
  <si>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</si>
  <si>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</si>
  <si>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</si>
  <si>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</si>
  <si>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</si>
  <si>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</si>
  <si>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</si>
  <si>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</si>
  <si>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</si>
  <si>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</si>
  <si>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</si>
  <si>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</si>
  <si>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</si>
  <si>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2019 $0M + USGS T3 nonfuel 2021 $405M -&gt; coal share 0.000 (applied to stateior 212 $165M)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</si>
  <si>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</si>
  <si>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</si>
  <si>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</si>
  <si>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</si>
  <si>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</si>
  <si>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</si>
  <si>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</si>
  <si>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</si>
  <si>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</si>
  <si>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</si>
  <si>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</si>
  <si>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</si>
  <si>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</si>
  <si>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</si>
  <si>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</si>
  <si>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</si>
  <si>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</si>
  <si>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</si>
  <si>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SD.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</si>
  <si>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</si>
  <si>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</si>
  <si>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</si>
  <si>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</si>
  <si>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</si>
  <si>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</si>
  <si>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</si>
  <si>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</si>
  <si>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</si>
  <si>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</si>
  <si>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</si>
  <si>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</si>
  <si>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</si>
  <si>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</si>
  <si>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</si>
  <si>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</si>
  <si>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</si>
  <si>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</si>
  <si>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</si>
  <si>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</si>
  <si>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</si>
  <si>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</si>
  <si>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</si>
  <si>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</si>
  <si>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</si>
  <si>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</si>
  <si>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</si>
  <si>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</si>
  <si>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</si>
  <si>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</si>
  <si>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</si>
  <si>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</si>
  <si>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</si>
  <si>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</si>
  <si>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</si>
  <si>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</si>
  <si>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</si>
  <si>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</si>
  <si>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</si>
  <si>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</si>
  <si>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</si>
  <si>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</si>
  <si>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</si>
  <si>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</si>
  <si>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</si>
  <si>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</si>
  <si>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</si>
  <si>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</si>
  <si>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</si>
  <si>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</si>
  <si>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</si>
  <si>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</si>
  <si>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</si>
  <si>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</si>
  <si>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</si>
  <si>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</si>
  <si>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</si>
  <si>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</si>
  <si>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</si>
  <si>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</si>
  <si>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</si>
  <si>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</si>
  <si>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</si>
  <si>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</si>
  <si>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</si>
  <si>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</si>
  <si>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</si>
  <si>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</si>
  <si>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</si>
  <si>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</si>
  <si>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</si>
  <si>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</si>
  <si>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</si>
  <si>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</si>
  <si>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</si>
  <si>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</si>
  <si>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</si>
  <si>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</si>
  <si>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</si>
  <si>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</si>
  <si>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</si>
  <si>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</si>
  <si>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</si>
  <si>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</si>
  <si>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</si>
  <si>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ISIC, then deflate to 2012 USD (Keys!$C$2)</t>
  </si>
  <si>
    <t xml:space="preserve">aggregated_nominal</t>
  </si>
  <si>
    <t xml:space="preserve">value_2012USD</t>
  </si>
  <si>
    <t xml:space="preserve">Unit: USD</t>
  </si>
  <si>
    <t xml:space="preserve">Compensation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</si>
</sst>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1</v>
      </c>
    </row>
    <row r="13">
      <c r="A13" t="s">
        <v>9</v>
      </c>
    </row>
    <row r="14">
      <c r="A14" t="s">
        <v>1</v>
      </c>
    </row>
    <row r="15">
      <c r="A15" t="s">
        <v>10</v>
      </c>
    </row>
    <row r="16">
      <c r="A16" t="s">
        <v>11</v>
      </c>
    </row>
    <row r="17">
      <c r="A17" t="s">
        <v>12</v>
      </c>
    </row>
    <row r="18">
      <c r="A18" t="s">
        <v>13</v>
      </c>
    </row>
    <row r="19">
      <c r="A19" t="s">
        <v>14</v>
      </c>
    </row>
    <row r="20">
      <c r="A20" t="s">
        <v>15</v>
      </c>
    </row>
    <row r="21">
      <c r="A21" t="s">
        <v>16</v>
      </c>
    </row>
    <row r="22">
      <c r="A22" t="s">
        <v>17</v>
      </c>
    </row>
    <row r="23">
      <c r="A23" t="s">
        <v>1</v>
      </c>
    </row>
    <row r="24">
      <c r="A24" t="s">
        <v>18</v>
      </c>
    </row>
    <row r="25">
      <c r="A25" t="s">
        <v>19</v>
      </c>
    </row>
    <row r="26">
      <c r="A26" t="s">
        <v>20</v>
      </c>
    </row>
    <row r="27">
      <c r="A27" t="s">
        <v>21</v>
      </c>
    </row>
    <row r="28">
      <c r="A28" t="s">
        <v>22</v>
      </c>
    </row>
    <row r="29">
      <c r="A29" t="s">
        <v>23</v>
      </c>
    </row>
    <row r="30">
      <c r="A30" t="s">
        <v>1</v>
      </c>
    </row>
    <row r="31">
      <c r="A31" t="s">
        <v>24</v>
      </c>
    </row>
    <row r="32">
      <c r="A32" t="s">
        <v>25</v>
      </c>
    </row>
    <row r="33">
      <c r="A33" t="s">
        <v>26</v>
      </c>
    </row>
    <row r="34">
      <c r="A34" t="s">
        <v>1</v>
      </c>
    </row>
    <row r="35">
      <c r="A35" t="s">
        <v>27</v>
      </c>
    </row>
    <row r="36">
      <c r="A36" t="s">
        <v>28</v>
      </c>
    </row>
    <row r="37">
      <c r="A37" t="s">
        <v>29</v>
      </c>
    </row>
    <row r="38">
      <c r="A38" t="s">
        <v>30</v>
      </c>
    </row>
    <row r="39">
      <c r="A39" t="s">
        <v>31</v>
      </c>
    </row>
    <row r="40">
      <c r="A40" t="s">
        <v>32</v>
      </c>
    </row>
    <row r="41">
      <c r="A41" t="s">
        <v>33</v>
      </c>
    </row>
    <row r="42">
      <c r="A42" t="s">
        <v>34</v>
      </c>
    </row>
    <row r="43">
      <c r="A43" t="s">
        <v>35</v>
      </c>
    </row>
    <row r="44">
      <c r="A44" t="s">
        <v>36</v>
      </c>
    </row>
    <row r="45">
      <c r="A45" t="s">
        <v>37</v>
      </c>
    </row>
    <row r="46">
      <c r="A46" t="s">
        <v>38</v>
      </c>
    </row>
    <row r="47">
      <c r="A47" t="s">
        <v>1</v>
      </c>
    </row>
    <row r="48">
      <c r="A48" t="s">
        <v>39</v>
      </c>
    </row>
    <row r="49">
      <c r="A49" t="s">
        <v>40</v>
      </c>
    </row>
    <row r="50">
      <c r="A50" t="s">
        <v>41</v>
      </c>
    </row>
    <row r="51">
      <c r="A51" t="s">
        <v>42</v>
      </c>
    </row>
    <row r="52">
      <c r="A52" t="s">
        <v>43</v>
      </c>
    </row>
    <row r="53">
      <c r="A53" t="s">
        <v>1</v>
      </c>
    </row>
    <row r="54">
      <c r="A54" t="s">
        <v>44</v>
      </c>
    </row>
    <row r="55">
      <c r="A55" t="s">
        <v>45</v>
      </c>
    </row>
    <row r="56">
      <c r="A56" t="s">
        <v>1</v>
      </c>
    </row>
    <row r="57">
      <c r="A57" t="s">
        <v>4</v>
      </c>
    </row>
    <row r="58">
      <c r="A58" t="s">
        <v>46</v>
      </c>
    </row>
    <row r="59">
      <c r="A59" t="s">
        <v>4</v>
      </c>
    </row>
    <row r="60">
      <c r="A60" t="s">
        <v>47</v>
      </c>
    </row>
    <row r="61">
      <c r="A61" t="s">
        <v>48</v>
      </c>
    </row>
    <row r="62">
      <c r="A62" t="s">
        <v>1</v>
      </c>
    </row>
    <row r="63">
      <c r="A63" t="s">
        <v>49</v>
      </c>
    </row>
    <row r="64">
      <c r="A64" t="s">
        <v>50</v>
      </c>
    </row>
    <row r="65">
      <c r="A65" t="s">
        <v>51</v>
      </c>
    </row>
    <row r="66">
      <c r="A66" t="s">
        <v>52</v>
      </c>
    </row>
    <row r="67">
      <c r="A67" t="s">
        <v>53</v>
      </c>
    </row>
    <row r="68">
      <c r="A68" t="s">
        <v>54</v>
      </c>
    </row>
    <row r="69">
      <c r="A69" t="s">
        <v>55</v>
      </c>
    </row>
    <row r="70">
      <c r="A70" t="s">
        <v>56</v>
      </c>
    </row>
    <row r="71">
      <c r="A71" t="s">
        <v>57</v>
      </c>
    </row>
    <row r="72">
      <c r="A72" t="s">
        <v>58</v>
      </c>
    </row>
    <row r="73">
      <c r="A73" t="s">
        <v>59</v>
      </c>
    </row>
    <row r="74">
      <c r="A74" t="s">
        <v>1</v>
      </c>
    </row>
    <row r="75">
      <c r="A75" t="s">
        <v>60</v>
      </c>
    </row>
    <row r="76">
      <c r="A76" t="s">
        <v>61</v>
      </c>
    </row>
    <row r="77">
      <c r="A77" t="s">
        <v>1</v>
      </c>
    </row>
    <row r="78">
      <c r="A78" t="s">
        <v>4</v>
      </c>
    </row>
    <row r="79">
      <c r="A79" t="s">
        <v>62</v>
      </c>
    </row>
    <row r="80">
      <c r="A80" t="s">
        <v>4</v>
      </c>
    </row>
    <row r="81">
      <c r="A81" t="s">
        <v>63</v>
      </c>
    </row>
    <row r="82">
      <c r="A82" t="s">
        <v>64</v>
      </c>
    </row>
    <row r="83">
      <c r="A83" t="s">
        <v>65</v>
      </c>
    </row>
    <row r="84">
      <c r="A84" t="s">
        <v>1</v>
      </c>
    </row>
    <row r="85">
      <c r="A85" t="s">
        <v>66</v>
      </c>
    </row>
    <row r="86">
      <c r="A86" t="s">
        <v>67</v>
      </c>
    </row>
    <row r="87">
      <c r="A87" t="s">
        <v>68</v>
      </c>
    </row>
    <row r="88">
      <c r="A88" t="s">
        <v>1</v>
      </c>
    </row>
    <row r="89">
      <c r="A89" t="s">
        <v>69</v>
      </c>
    </row>
    <row r="90">
      <c r="A90" t="s">
        <v>70</v>
      </c>
    </row>
    <row r="91">
      <c r="A91" t="s">
        <v>71</v>
      </c>
    </row>
    <row r="92">
      <c r="A92" t="s">
        <v>1</v>
      </c>
    </row>
    <row r="93">
      <c r="A93" t="s">
        <v>72</v>
      </c>
    </row>
    <row r="94">
      <c r="A94" t="s">
        <v>73</v>
      </c>
    </row>
    <row r="95">
      <c r="A95" t="s">
        <v>74</v>
      </c>
    </row>
    <row r="96">
      <c r="A96" t="s">
        <v>1</v>
      </c>
    </row>
    <row r="97">
      <c r="A97" t="s">
        <v>75</v>
      </c>
    </row>
    <row r="98">
      <c r="A98" t="s">
        <v>76</v>
      </c>
    </row>
    <row r="99">
      <c r="A99" t="s">
        <v>77</v>
      </c>
    </row>
    <row r="100">
      <c r="A100" t="s">
        <v>1</v>
      </c>
    </row>
    <row r="101">
      <c r="A101" t="s">
        <v>78</v>
      </c>
    </row>
    <row r="102">
      <c r="A102" t="s">
        <v>79</v>
      </c>
    </row>
    <row r="103">
      <c r="A103" t="s">
        <v>80</v>
      </c>
    </row>
    <row r="104">
      <c r="A104" t="s">
        <v>1</v>
      </c>
    </row>
    <row r="105">
      <c r="A105" t="s">
        <v>81</v>
      </c>
    </row>
    <row r="106">
      <c r="A106" t="s">
        <v>82</v>
      </c>
    </row>
    <row r="107">
      <c r="A107" t="s">
        <v>83</v>
      </c>
    </row>
    <row r="108">
      <c r="A108" t="s">
        <v>1</v>
      </c>
    </row>
    <row r="109">
      <c r="A109" t="s">
        <v>84</v>
      </c>
    </row>
    <row r="110">
      <c r="A110" t="s">
        <v>85</v>
      </c>
    </row>
    <row r="111">
      <c r="A111" t="s">
        <v>86</v>
      </c>
    </row>
    <row r="112">
      <c r="A112" t="s">
        <v>1</v>
      </c>
    </row>
    <row r="113">
      <c r="A113" t="s">
        <v>87</v>
      </c>
    </row>
    <row r="114">
      <c r="A114" t="s">
        <v>88</v>
      </c>
    </row>
    <row r="115">
      <c r="A115" t="s">
        <v>89</v>
      </c>
    </row>
    <row r="116">
      <c r="A116" t="s">
        <v>1</v>
      </c>
    </row>
    <row r="117">
      <c r="A117" t="s">
        <v>90</v>
      </c>
    </row>
    <row r="118">
      <c r="A118" t="s">
        <v>91</v>
      </c>
    </row>
    <row r="119">
      <c r="A119" t="s">
        <v>92</v>
      </c>
    </row>
    <row r="120">
      <c r="A120" t="s">
        <v>1</v>
      </c>
    </row>
    <row r="121">
      <c r="A121" t="s">
        <v>93</v>
      </c>
    </row>
    <row r="122">
      <c r="A122" t="s">
        <v>94</v>
      </c>
    </row>
    <row r="123">
      <c r="A123" t="s">
        <v>95</v>
      </c>
    </row>
    <row r="124">
      <c r="A124" t="s">
        <v>1</v>
      </c>
    </row>
    <row r="125">
      <c r="A125" t="s">
        <v>4</v>
      </c>
    </row>
    <row r="126">
      <c r="A126" t="s">
        <v>96</v>
      </c>
    </row>
    <row r="127">
      <c r="A127" t="s">
        <v>4</v>
      </c>
    </row>
    <row r="128">
      <c r="A128" t="s">
        <v>97</v>
      </c>
    </row>
    <row r="129">
      <c r="A129" t="s">
        <v>98</v>
      </c>
    </row>
    <row r="130">
      <c r="A130" t="s">
        <v>99</v>
      </c>
    </row>
    <row r="131">
      <c r="A131" t="s">
        <v>100</v>
      </c>
    </row>
    <row r="132">
      <c r="A132" t="s">
        <v>101</v>
      </c>
    </row>
    <row r="133">
      <c r="A133" t="s">
        <v>102</v>
      </c>
    </row>
    <row r="134">
      <c r="A134" t="s">
        <v>103</v>
      </c>
    </row>
    <row r="135">
      <c r="A135" t="s">
        <v>104</v>
      </c>
    </row>
    <row r="136">
      <c r="A136" t="s">
        <v>105</v>
      </c>
    </row>
    <row r="137">
      <c r="A137" t="s">
        <v>106</v>
      </c>
    </row>
    <row r="138">
      <c r="A138" t="s">
        <v>107</v>
      </c>
    </row>
    <row r="139">
      <c r="A139" t="s">
        <v>108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109</v>
      </c>
      <c r="B1" t="s">
        <v>110</v>
      </c>
      <c r="C1" t="s">
        <v>111</v>
      </c>
      <c r="D1" t="s">
        <v>112</v>
      </c>
    </row>
    <row r="2">
      <c r="A2" t="s">
        <v>113</v>
      </c>
      <c r="B2" t="s">
        <v>114</v>
      </c>
      <c r="C2" t="n">
        <v>1.12266</v>
      </c>
      <c r="D2" t="s">
        <v>115</v>
      </c>
    </row>
    <row r="3">
      <c r="A3" t="s">
        <v>116</v>
      </c>
      <c r="B3" t="s">
        <v>117</v>
      </c>
      <c r="C3" t="n">
        <v>2019</v>
      </c>
      <c r="D3" t="s">
        <v>118</v>
      </c>
    </row>
    <row r="4">
      <c r="A4" t="s">
        <v>119</v>
      </c>
      <c r="B4" t="s">
        <v>120</v>
      </c>
      <c r="C4" t="n">
        <v>0.000000001</v>
      </c>
      <c r="D4" t="s">
        <v>121</v>
      </c>
    </row>
    <row r="5">
      <c r="A5" t="s">
        <v>119</v>
      </c>
      <c r="B5" t="s">
        <v>122</v>
      </c>
      <c r="C5" t="n">
        <v>1</v>
      </c>
      <c r="D5" t="s">
        <v>123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124</v>
      </c>
      <c r="B1" t="s">
        <v>125</v>
      </c>
    </row>
    <row r="2">
      <c r="A2" t="s">
        <v>126</v>
      </c>
      <c r="B2" t="n">
        <v>713188842.045177</v>
      </c>
    </row>
    <row r="3">
      <c r="A3" t="s">
        <v>127</v>
      </c>
      <c r="B3" t="n">
        <v>108014283.996633</v>
      </c>
    </row>
    <row r="4">
      <c r="A4" t="s">
        <v>128</v>
      </c>
      <c r="B4" t="n">
        <v>1355864.20824797</v>
      </c>
    </row>
    <row r="5">
      <c r="A5" t="s">
        <v>129</v>
      </c>
      <c r="B5" t="n">
        <v>29594696.6842502</v>
      </c>
    </row>
    <row r="6">
      <c r="A6" t="s">
        <v>130</v>
      </c>
      <c r="B6" t="n">
        <v>2564714.51421192</v>
      </c>
    </row>
    <row r="7">
      <c r="A7" t="s">
        <v>131</v>
      </c>
      <c r="B7" t="n">
        <v>243623082.908117</v>
      </c>
    </row>
    <row r="8">
      <c r="A8" t="s">
        <v>132</v>
      </c>
      <c r="B8" t="n">
        <v>1425258185.50431</v>
      </c>
    </row>
    <row r="9">
      <c r="A9" t="s">
        <v>133</v>
      </c>
      <c r="B9" t="n">
        <v>135080662.068216</v>
      </c>
    </row>
    <row r="10">
      <c r="A10" t="s">
        <v>134</v>
      </c>
      <c r="B10" t="n">
        <v>80491248.889453</v>
      </c>
    </row>
    <row r="11">
      <c r="A11" t="s">
        <v>135</v>
      </c>
      <c r="B11" t="n">
        <v>32503656.4751935</v>
      </c>
    </row>
    <row r="12">
      <c r="A12" t="s">
        <v>136</v>
      </c>
      <c r="B12" t="n">
        <v>181854356.054642</v>
      </c>
    </row>
    <row r="13">
      <c r="A13" t="s">
        <v>137</v>
      </c>
      <c r="B13" t="n">
        <v>478944346.772691</v>
      </c>
    </row>
    <row r="14">
      <c r="A14" t="s">
        <v>138</v>
      </c>
      <c r="B14" t="n">
        <v>97274873.2603814</v>
      </c>
    </row>
    <row r="15">
      <c r="A15" t="s">
        <v>139</v>
      </c>
      <c r="B15" t="n">
        <v>55812541.6167266</v>
      </c>
    </row>
    <row r="16">
      <c r="A16" t="s">
        <v>140</v>
      </c>
      <c r="B16" t="n">
        <v>152468775.617446</v>
      </c>
    </row>
    <row r="17">
      <c r="A17" t="s">
        <v>141</v>
      </c>
      <c r="B17" t="n">
        <v>20087828.7387904</v>
      </c>
    </row>
    <row r="18">
      <c r="A18" t="s">
        <v>142</v>
      </c>
      <c r="B18" t="n">
        <v>98983484.7288046</v>
      </c>
    </row>
    <row r="19">
      <c r="A19" t="s">
        <v>143</v>
      </c>
      <c r="B19" t="n">
        <v>432835676.462222</v>
      </c>
    </row>
    <row r="20">
      <c r="A20" t="s">
        <v>144</v>
      </c>
      <c r="B20" t="n">
        <v>315428768.966263</v>
      </c>
    </row>
    <row r="21">
      <c r="A21" t="s">
        <v>145</v>
      </c>
      <c r="B21" t="n">
        <v>26713994.4837511</v>
      </c>
    </row>
    <row r="22">
      <c r="A22" t="s">
        <v>146</v>
      </c>
      <c r="B22" t="n">
        <v>1986693.00343071</v>
      </c>
    </row>
    <row r="23">
      <c r="A23" t="s">
        <v>147</v>
      </c>
      <c r="B23" t="n">
        <v>31150111.6142611</v>
      </c>
    </row>
    <row r="24">
      <c r="A24" t="s">
        <v>148</v>
      </c>
      <c r="B24" t="n">
        <v>78353774.8121025</v>
      </c>
    </row>
    <row r="25">
      <c r="A25" t="s">
        <v>149</v>
      </c>
      <c r="B25" t="n">
        <v>511638.938300024</v>
      </c>
    </row>
    <row r="26">
      <c r="A26" t="s">
        <v>150</v>
      </c>
      <c r="B26" t="n">
        <v>67630312.7493176</v>
      </c>
    </row>
    <row r="27">
      <c r="A27" t="s">
        <v>151</v>
      </c>
      <c r="B27" t="n">
        <v>50983601.6084716</v>
      </c>
    </row>
    <row r="28">
      <c r="A28" t="s">
        <v>152</v>
      </c>
      <c r="B28" t="n">
        <v>1567368881.97953</v>
      </c>
    </row>
    <row r="29">
      <c r="A29" t="s">
        <v>153</v>
      </c>
      <c r="B29" t="n">
        <v>533667811.489851</v>
      </c>
    </row>
    <row r="30">
      <c r="A30" t="s">
        <v>154</v>
      </c>
      <c r="B30" t="n">
        <v>311393720.534796</v>
      </c>
    </row>
    <row r="31">
      <c r="A31" t="s">
        <v>155</v>
      </c>
      <c r="B31" t="n">
        <v>333752327.547547</v>
      </c>
    </row>
    <row r="32">
      <c r="A32" t="s">
        <v>156</v>
      </c>
      <c r="B32" t="n">
        <v>844529420.805923</v>
      </c>
    </row>
    <row r="33">
      <c r="A33" t="s">
        <v>157</v>
      </c>
      <c r="B33" t="n">
        <v>33476091.5769203</v>
      </c>
    </row>
    <row r="34">
      <c r="A34" t="s">
        <v>158</v>
      </c>
      <c r="B34" t="n">
        <v>84939906.032131</v>
      </c>
    </row>
    <row r="35">
      <c r="A35" t="s">
        <v>159</v>
      </c>
      <c r="B35" t="n">
        <v>349210.645015787</v>
      </c>
    </row>
    <row r="36">
      <c r="A36" t="s">
        <v>160</v>
      </c>
      <c r="B36" t="n">
        <v>404820624.58842</v>
      </c>
    </row>
    <row r="37">
      <c r="A37" t="s">
        <v>161</v>
      </c>
      <c r="B37" t="n">
        <v>32011881.6254417</v>
      </c>
    </row>
    <row r="38">
      <c r="A38" t="s">
        <v>162</v>
      </c>
      <c r="B38" t="n">
        <v>7110997.45560153</v>
      </c>
    </row>
    <row r="39">
      <c r="A39" t="s">
        <v>163</v>
      </c>
      <c r="B39" t="n">
        <v>166169040.294973</v>
      </c>
    </row>
    <row r="40">
      <c r="A40" t="s">
        <v>164</v>
      </c>
      <c r="B40" t="n">
        <v>48288387.6243696</v>
      </c>
    </row>
    <row r="41">
      <c r="A41" t="s">
        <v>165</v>
      </c>
      <c r="B41" t="n">
        <v>57958669.047046</v>
      </c>
    </row>
    <row r="42">
      <c r="A42" t="s">
        <v>166</v>
      </c>
      <c r="B42" t="n">
        <v>14877045.5700491</v>
      </c>
    </row>
    <row r="43">
      <c r="A43" t="s">
        <v>167</v>
      </c>
      <c r="B43" t="n">
        <v>270458927.884299</v>
      </c>
    </row>
    <row r="44">
      <c r="A44" t="s">
        <v>168</v>
      </c>
      <c r="B44" t="n">
        <v>34191336.9569183</v>
      </c>
    </row>
    <row r="45">
      <c r="A45" t="s">
        <v>169</v>
      </c>
      <c r="B45" t="n">
        <v>3602266595.0987</v>
      </c>
    </row>
    <row r="46">
      <c r="A46" t="s">
        <v>170</v>
      </c>
      <c r="B46" t="n">
        <v>207853338.350715</v>
      </c>
    </row>
    <row r="47">
      <c r="A47" t="s">
        <v>171</v>
      </c>
      <c r="B47" t="n">
        <v>651898537.370307</v>
      </c>
    </row>
    <row r="48">
      <c r="A48" t="s">
        <v>172</v>
      </c>
      <c r="B48" t="n">
        <v>2590997.15099715</v>
      </c>
    </row>
    <row r="49">
      <c r="A49" t="s">
        <v>173</v>
      </c>
      <c r="B49" t="n">
        <v>53695710.4120162</v>
      </c>
    </row>
    <row r="50">
      <c r="A50" t="s">
        <v>174</v>
      </c>
      <c r="B50" t="n">
        <v>111226787.529923</v>
      </c>
    </row>
    <row r="51">
      <c r="A51" t="s">
        <v>175</v>
      </c>
      <c r="B51" t="n">
        <v>29551631.0744566</v>
      </c>
    </row>
    <row r="52">
      <c r="A52" t="s">
        <v>176</v>
      </c>
      <c r="B52" t="n">
        <v>136993461.799608</v>
      </c>
    </row>
    <row r="53">
      <c r="A53" t="s">
        <v>177</v>
      </c>
      <c r="B53" t="n">
        <v>294602927.536538</v>
      </c>
    </row>
    <row r="54">
      <c r="A54" t="s">
        <v>178</v>
      </c>
      <c r="B54" t="n">
        <v>757648805.538765</v>
      </c>
    </row>
    <row r="55">
      <c r="A55" t="s">
        <v>179</v>
      </c>
      <c r="B55" t="n">
        <v>652469946.891134</v>
      </c>
    </row>
    <row r="56">
      <c r="A56" t="s">
        <v>180</v>
      </c>
      <c r="B56" t="n">
        <v>571394658.650307</v>
      </c>
    </row>
    <row r="57">
      <c r="A57" t="s">
        <v>181</v>
      </c>
      <c r="B57" t="n">
        <v>49425717.5348371</v>
      </c>
    </row>
    <row r="58">
      <c r="A58" t="s">
        <v>182</v>
      </c>
      <c r="B58" t="n">
        <v>303725964.651342</v>
      </c>
    </row>
    <row r="59">
      <c r="A59" t="s">
        <v>183</v>
      </c>
      <c r="B59" t="n">
        <v>1667821037.48936</v>
      </c>
    </row>
    <row r="60">
      <c r="A60" t="s">
        <v>184</v>
      </c>
      <c r="B60" t="n">
        <v>2059194559.32888</v>
      </c>
    </row>
    <row r="61">
      <c r="A61" t="s">
        <v>185</v>
      </c>
      <c r="B61" t="n">
        <v>493488537.778674</v>
      </c>
    </row>
    <row r="62">
      <c r="A62" t="s">
        <v>186</v>
      </c>
      <c r="B62" t="n">
        <v>269914759.979306</v>
      </c>
    </row>
    <row r="63">
      <c r="A63" t="s">
        <v>187</v>
      </c>
      <c r="B63" t="n">
        <v>56552035.8126526</v>
      </c>
    </row>
    <row r="64">
      <c r="A64" t="s">
        <v>188</v>
      </c>
      <c r="B64" t="n">
        <v>126481424.741478</v>
      </c>
    </row>
    <row r="65">
      <c r="A65" t="s">
        <v>189</v>
      </c>
      <c r="B65" t="n">
        <v>320405899.589964</v>
      </c>
    </row>
    <row r="66">
      <c r="A66" t="s">
        <v>190</v>
      </c>
      <c r="B66" t="n">
        <v>688594729.304626</v>
      </c>
    </row>
    <row r="67">
      <c r="A67" t="s">
        <v>191</v>
      </c>
      <c r="B67" t="n">
        <v>831697372.892706</v>
      </c>
    </row>
    <row r="68">
      <c r="A68" t="s">
        <v>192</v>
      </c>
      <c r="B68" t="n">
        <v>459875006.094533</v>
      </c>
    </row>
    <row r="69">
      <c r="A69" t="s">
        <v>193</v>
      </c>
      <c r="B69" t="n">
        <v>439879384.807923</v>
      </c>
    </row>
    <row r="70">
      <c r="A70" t="s">
        <v>194</v>
      </c>
      <c r="B70" t="n">
        <v>125990368.56945</v>
      </c>
    </row>
    <row r="71">
      <c r="A71" t="s">
        <v>195</v>
      </c>
      <c r="B71" t="n">
        <v>3796006275.59812</v>
      </c>
    </row>
    <row r="72">
      <c r="A72" t="s">
        <v>196</v>
      </c>
      <c r="B72" t="n">
        <v>181827492.720796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197</v>
      </c>
      <c r="B1" t="s">
        <v>126</v>
      </c>
      <c r="C1" t="s">
        <v>127</v>
      </c>
      <c r="D1" t="s">
        <v>128</v>
      </c>
      <c r="E1" t="s">
        <v>129</v>
      </c>
      <c r="F1" t="s">
        <v>130</v>
      </c>
      <c r="G1" t="s">
        <v>131</v>
      </c>
      <c r="H1" t="s">
        <v>132</v>
      </c>
      <c r="I1" t="s">
        <v>133</v>
      </c>
      <c r="J1" t="s">
        <v>134</v>
      </c>
      <c r="K1" t="s">
        <v>135</v>
      </c>
      <c r="L1" t="s">
        <v>136</v>
      </c>
      <c r="M1" t="s">
        <v>137</v>
      </c>
      <c r="N1" t="s">
        <v>138</v>
      </c>
      <c r="O1" t="s">
        <v>139</v>
      </c>
      <c r="P1" t="s">
        <v>140</v>
      </c>
      <c r="Q1" t="s">
        <v>141</v>
      </c>
      <c r="R1" t="s">
        <v>142</v>
      </c>
      <c r="S1" t="s">
        <v>143</v>
      </c>
      <c r="T1" t="s">
        <v>144</v>
      </c>
      <c r="U1" t="s">
        <v>145</v>
      </c>
      <c r="V1" t="s">
        <v>146</v>
      </c>
      <c r="W1" t="s">
        <v>147</v>
      </c>
      <c r="X1" t="s">
        <v>148</v>
      </c>
      <c r="Y1" t="s">
        <v>149</v>
      </c>
      <c r="Z1" t="s">
        <v>150</v>
      </c>
      <c r="AA1" t="s">
        <v>151</v>
      </c>
      <c r="AB1" t="s">
        <v>152</v>
      </c>
      <c r="AC1" t="s">
        <v>153</v>
      </c>
      <c r="AD1" t="s">
        <v>154</v>
      </c>
      <c r="AE1" t="s">
        <v>155</v>
      </c>
      <c r="AF1" t="s">
        <v>156</v>
      </c>
      <c r="AG1" t="s">
        <v>157</v>
      </c>
      <c r="AH1" t="s">
        <v>158</v>
      </c>
      <c r="AI1" t="s">
        <v>159</v>
      </c>
      <c r="AJ1" t="s">
        <v>160</v>
      </c>
      <c r="AK1" t="s">
        <v>161</v>
      </c>
      <c r="AL1" t="s">
        <v>162</v>
      </c>
      <c r="AM1" t="s">
        <v>163</v>
      </c>
      <c r="AN1" t="s">
        <v>164</v>
      </c>
      <c r="AO1" t="s">
        <v>165</v>
      </c>
      <c r="AP1" t="s">
        <v>166</v>
      </c>
      <c r="AQ1" t="s">
        <v>167</v>
      </c>
      <c r="AR1" t="s">
        <v>168</v>
      </c>
      <c r="AS1" t="s">
        <v>169</v>
      </c>
      <c r="AT1" t="s">
        <v>170</v>
      </c>
      <c r="AU1" t="s">
        <v>171</v>
      </c>
      <c r="AV1" t="s">
        <v>172</v>
      </c>
      <c r="AW1" t="s">
        <v>173</v>
      </c>
      <c r="AX1" t="s">
        <v>174</v>
      </c>
      <c r="AY1" t="s">
        <v>175</v>
      </c>
      <c r="AZ1" t="s">
        <v>176</v>
      </c>
      <c r="BA1" t="s">
        <v>177</v>
      </c>
      <c r="BB1" t="s">
        <v>178</v>
      </c>
      <c r="BC1" t="s">
        <v>179</v>
      </c>
      <c r="BD1" t="s">
        <v>180</v>
      </c>
      <c r="BE1" t="s">
        <v>181</v>
      </c>
      <c r="BF1" t="s">
        <v>182</v>
      </c>
      <c r="BG1" t="s">
        <v>183</v>
      </c>
      <c r="BH1" t="s">
        <v>184</v>
      </c>
      <c r="BI1" t="s">
        <v>185</v>
      </c>
      <c r="BJ1" t="s">
        <v>186</v>
      </c>
      <c r="BK1" t="s">
        <v>187</v>
      </c>
      <c r="BL1" t="s">
        <v>188</v>
      </c>
      <c r="BM1" t="s">
        <v>189</v>
      </c>
      <c r="BN1" t="s">
        <v>190</v>
      </c>
      <c r="BO1" t="s">
        <v>191</v>
      </c>
      <c r="BP1" t="s">
        <v>192</v>
      </c>
      <c r="BQ1" t="s">
        <v>193</v>
      </c>
      <c r="BR1" t="s">
        <v>194</v>
      </c>
      <c r="BS1" t="s">
        <v>195</v>
      </c>
      <c r="BT1" t="s">
        <v>196</v>
      </c>
    </row>
    <row r="2">
      <c r="A2" t="s">
        <v>198</v>
      </c>
      <c r="B2" t="n">
        <v>713188842.045177</v>
      </c>
      <c r="C2" t="n">
        <v>108014283.996633</v>
      </c>
      <c r="D2" t="n">
        <v>1355864.20824797</v>
      </c>
      <c r="E2" t="n">
        <v>29594696.6842502</v>
      </c>
      <c r="F2" t="n">
        <v>2564714.51421192</v>
      </c>
      <c r="G2" t="n">
        <v>243623082.908117</v>
      </c>
      <c r="H2" t="n">
        <v>1425258185.50431</v>
      </c>
      <c r="I2" t="n">
        <v>135080662.068216</v>
      </c>
      <c r="J2" t="n">
        <v>80491248.889453</v>
      </c>
      <c r="K2" t="n">
        <v>32503656.4751935</v>
      </c>
      <c r="L2" t="n">
        <v>181854356.054642</v>
      </c>
      <c r="M2" t="n">
        <v>478944346.772691</v>
      </c>
      <c r="N2" t="n">
        <v>97274873.2603814</v>
      </c>
      <c r="O2" t="n">
        <v>55812541.6167266</v>
      </c>
      <c r="P2" t="n">
        <v>152468775.617446</v>
      </c>
      <c r="Q2" t="n">
        <v>20087828.7387904</v>
      </c>
      <c r="R2" t="n">
        <v>98983484.7288046</v>
      </c>
      <c r="S2" t="n">
        <v>432835676.462222</v>
      </c>
      <c r="T2" t="n">
        <v>315428768.966263</v>
      </c>
      <c r="U2" t="n">
        <v>26713994.4837511</v>
      </c>
      <c r="V2" t="n">
        <v>1986693.00343071</v>
      </c>
      <c r="W2" t="n">
        <v>31150111.6142611</v>
      </c>
      <c r="X2" t="n">
        <v>78353774.8121025</v>
      </c>
      <c r="Y2" t="n">
        <v>511638.938300024</v>
      </c>
      <c r="Z2" t="n">
        <v>67630312.7493176</v>
      </c>
      <c r="AA2" t="n">
        <v>50983601.6084716</v>
      </c>
      <c r="AB2" t="n">
        <v>1567368881.97953</v>
      </c>
      <c r="AC2" t="n">
        <v>533667811.489851</v>
      </c>
      <c r="AD2" t="n">
        <v>311393720.534796</v>
      </c>
      <c r="AE2" t="n">
        <v>333752327.547547</v>
      </c>
      <c r="AF2" t="n">
        <v>844529420.805923</v>
      </c>
      <c r="AG2" t="n">
        <v>33476091.5769203</v>
      </c>
      <c r="AH2" t="n">
        <v>84939906.032131</v>
      </c>
      <c r="AI2" t="n">
        <v>349210.645015787</v>
      </c>
      <c r="AJ2" t="n">
        <v>404820624.58842</v>
      </c>
      <c r="AK2" t="n">
        <v>32011881.6254417</v>
      </c>
      <c r="AL2" t="n">
        <v>7110997.45560153</v>
      </c>
      <c r="AM2" t="n">
        <v>166169040.294973</v>
      </c>
      <c r="AN2" t="n">
        <v>48288387.6243696</v>
      </c>
      <c r="AO2" t="n">
        <v>57958669.047046</v>
      </c>
      <c r="AP2" t="n">
        <v>14877045.5700491</v>
      </c>
      <c r="AQ2" t="n">
        <v>270458927.884299</v>
      </c>
      <c r="AR2" t="n">
        <v>34191336.9569183</v>
      </c>
      <c r="AS2" t="n">
        <v>3602266595.0987</v>
      </c>
      <c r="AT2" t="n">
        <v>207853338.350715</v>
      </c>
      <c r="AU2" t="n">
        <v>651898537.370307</v>
      </c>
      <c r="AV2" t="n">
        <v>2590997.15099715</v>
      </c>
      <c r="AW2" t="n">
        <v>53695710.4120162</v>
      </c>
      <c r="AX2" t="n">
        <v>111226787.529923</v>
      </c>
      <c r="AY2" t="n">
        <v>29551631.0744566</v>
      </c>
      <c r="AZ2" t="n">
        <v>136993461.799608</v>
      </c>
      <c r="BA2" t="n">
        <v>294602927.536538</v>
      </c>
      <c r="BB2" t="n">
        <v>757648805.538765</v>
      </c>
      <c r="BC2" t="n">
        <v>652469946.891134</v>
      </c>
      <c r="BD2" t="n">
        <v>571394658.650307</v>
      </c>
      <c r="BE2" t="n">
        <v>49425717.5348371</v>
      </c>
      <c r="BF2" t="n">
        <v>303725964.651342</v>
      </c>
      <c r="BG2" t="n">
        <v>1667821037.48936</v>
      </c>
      <c r="BH2" t="n">
        <v>2059194559.32888</v>
      </c>
      <c r="BI2" t="n">
        <v>493488537.778674</v>
      </c>
      <c r="BJ2" t="n">
        <v>269914759.979306</v>
      </c>
      <c r="BK2" t="n">
        <v>56552035.8126526</v>
      </c>
      <c r="BL2" t="n">
        <v>126481424.741478</v>
      </c>
      <c r="BM2" t="n">
        <v>320405899.589964</v>
      </c>
      <c r="BN2" t="n">
        <v>688594729.304626</v>
      </c>
      <c r="BO2" t="n">
        <v>831697372.892706</v>
      </c>
      <c r="BP2" t="n">
        <v>459875006.094533</v>
      </c>
      <c r="BQ2" t="n">
        <v>439879384.807923</v>
      </c>
      <c r="BR2" t="n">
        <v>125990368.56945</v>
      </c>
      <c r="BS2" t="n">
        <v>3796006275.59812</v>
      </c>
      <c r="BT2" t="n">
        <v>181827492.720796</v>
      </c>
    </row>
    <row r="3">
      <c r="A3" t="s">
        <v>199</v>
      </c>
      <c r="B3" t="n">
        <v>-282465333.115877</v>
      </c>
      <c r="C3" t="n">
        <v>7597083.08284237</v>
      </c>
      <c r="D3" t="n">
        <v>1588182.46003912</v>
      </c>
      <c r="E3" t="n">
        <v>9094195.55388093</v>
      </c>
      <c r="F3" t="n">
        <v>165947.143674703</v>
      </c>
      <c r="G3" t="n">
        <v>184423086.526979</v>
      </c>
      <c r="H3" t="n">
        <v>27002971.5863956</v>
      </c>
      <c r="I3" t="n">
        <v>4704274.38626982</v>
      </c>
      <c r="J3" t="n">
        <v>4339928.92499048</v>
      </c>
      <c r="K3" t="n">
        <v>2645057.97574212</v>
      </c>
      <c r="L3" t="n">
        <v>6793331.61186303</v>
      </c>
      <c r="M3" t="n">
        <v>18779735.3544139</v>
      </c>
      <c r="N3" t="n">
        <v>5509666.00824652</v>
      </c>
      <c r="O3" t="n">
        <v>1528530.7630843</v>
      </c>
      <c r="P3" t="n">
        <v>7727099.62597756</v>
      </c>
      <c r="Q3" t="n">
        <v>715963.646245358</v>
      </c>
      <c r="R3" t="n">
        <v>2024401.00052659</v>
      </c>
      <c r="S3" t="n">
        <v>15367212.9712698</v>
      </c>
      <c r="T3" t="n">
        <v>75339126.86455</v>
      </c>
      <c r="U3" t="n">
        <v>1359875.28480633</v>
      </c>
      <c r="V3" t="n">
        <v>81609.3148975985</v>
      </c>
      <c r="W3" t="n">
        <v>1890968.81178647</v>
      </c>
      <c r="X3" t="n">
        <v>2450118.03815764</v>
      </c>
      <c r="Y3" t="n">
        <v>104520.246939416</v>
      </c>
      <c r="Z3" t="n">
        <v>11822177.1579063</v>
      </c>
      <c r="AA3" t="n">
        <v>2457235.17411351</v>
      </c>
      <c r="AB3" t="n">
        <v>788828406.714415</v>
      </c>
      <c r="AC3" t="n">
        <v>222076826.332528</v>
      </c>
      <c r="AD3" t="n">
        <v>84437689.9067176</v>
      </c>
      <c r="AE3" t="n">
        <v>150447511.02733</v>
      </c>
      <c r="AF3" t="n">
        <v>341105423.397805</v>
      </c>
      <c r="AG3" t="n">
        <v>15201459.2397119</v>
      </c>
      <c r="AH3" t="n">
        <v>361776.295847226</v>
      </c>
      <c r="AI3" t="n">
        <v>54442.9409111412</v>
      </c>
      <c r="AJ3" t="n">
        <v>18247842.0546072</v>
      </c>
      <c r="AK3" t="n">
        <v>2322946.1130742</v>
      </c>
      <c r="AL3" t="n">
        <v>3199367.75553214</v>
      </c>
      <c r="AM3" t="n">
        <v>4482820.30094505</v>
      </c>
      <c r="AN3" t="n">
        <v>759701.512879924</v>
      </c>
      <c r="AO3" t="n">
        <v>3223562.88188744</v>
      </c>
      <c r="AP3" t="n">
        <v>2386095.20582755</v>
      </c>
      <c r="AQ3" t="n">
        <v>105173303.772761</v>
      </c>
      <c r="AR3" t="n">
        <v>1777908.65647685</v>
      </c>
      <c r="AS3" t="n">
        <v>259778781.200639</v>
      </c>
      <c r="AT3" t="n">
        <v>4932572.84162993</v>
      </c>
      <c r="AU3" t="n">
        <v>74928206.5008228</v>
      </c>
      <c r="AV3" t="n">
        <v>689230.769230769</v>
      </c>
      <c r="AW3" t="n">
        <v>591813778.255687</v>
      </c>
      <c r="AX3" t="n">
        <v>32720102.9628081</v>
      </c>
      <c r="AY3" t="n">
        <v>17049826.340851</v>
      </c>
      <c r="AZ3" t="n">
        <v>17116079.4234527</v>
      </c>
      <c r="BA3" t="n">
        <v>7598376.31983436</v>
      </c>
      <c r="BB3" t="n">
        <v>18870952.9784067</v>
      </c>
      <c r="BC3" t="n">
        <v>18297235.0843972</v>
      </c>
      <c r="BD3" t="n">
        <v>14984474.601227</v>
      </c>
      <c r="BE3" t="n">
        <v>5981465.45139773</v>
      </c>
      <c r="BF3" t="n">
        <v>14625792.2369107</v>
      </c>
      <c r="BG3" t="n">
        <v>29033778.5867363</v>
      </c>
      <c r="BH3" t="n">
        <v>77138455.0033145</v>
      </c>
      <c r="BI3" t="n">
        <v>24064301.9267628</v>
      </c>
      <c r="BJ3" t="n">
        <v>4931428.68812286</v>
      </c>
      <c r="BK3" t="n">
        <v>7336893.72211033</v>
      </c>
      <c r="BL3" t="n">
        <v>35727831.3165713</v>
      </c>
      <c r="BM3" t="n">
        <v>117280530.737295</v>
      </c>
      <c r="BN3" t="n">
        <v>127635746.722646</v>
      </c>
      <c r="BO3" t="n">
        <v>64938369.0757203</v>
      </c>
      <c r="BP3" t="n">
        <v>0</v>
      </c>
      <c r="BQ3" t="n">
        <v>0</v>
      </c>
      <c r="BR3" t="n">
        <v>-13295424.6287465</v>
      </c>
      <c r="BS3" t="n">
        <v>0</v>
      </c>
      <c r="BT3" t="n">
        <v>-33420541.9545964</v>
      </c>
    </row>
    <row r="4">
      <c r="A4" t="s">
        <v>200</v>
      </c>
      <c r="B4" t="n">
        <v>2624351577.91731</v>
      </c>
      <c r="C4" t="n">
        <v>47488632.9205242</v>
      </c>
      <c r="D4" t="n">
        <v>4655909.34870424</v>
      </c>
      <c r="E4" t="n">
        <v>44009549.7362472</v>
      </c>
      <c r="F4" t="n">
        <v>2069338.34211337</v>
      </c>
      <c r="G4" t="n">
        <v>490556600.803387</v>
      </c>
      <c r="H4" t="n">
        <v>817341224.543763</v>
      </c>
      <c r="I4" t="n">
        <v>62115063.5455138</v>
      </c>
      <c r="J4" t="n">
        <v>74771354.2327707</v>
      </c>
      <c r="K4" t="n">
        <v>29251285.5490644</v>
      </c>
      <c r="L4" t="n">
        <v>81554014.0698707</v>
      </c>
      <c r="M4" t="n">
        <v>258775917.872896</v>
      </c>
      <c r="N4" t="n">
        <v>57915460.7313721</v>
      </c>
      <c r="O4" t="n">
        <v>30360387.5349581</v>
      </c>
      <c r="P4" t="n">
        <v>146904124.756576</v>
      </c>
      <c r="Q4" t="n">
        <v>17196207.6149642</v>
      </c>
      <c r="R4" t="n">
        <v>33292114.2706688</v>
      </c>
      <c r="S4" t="n">
        <v>236297110.566508</v>
      </c>
      <c r="T4" t="n">
        <v>316832104.169187</v>
      </c>
      <c r="U4" t="n">
        <v>7926130.23144262</v>
      </c>
      <c r="V4" t="n">
        <v>431957.583948435</v>
      </c>
      <c r="W4" t="n">
        <v>27158919.5739524</v>
      </c>
      <c r="X4" t="n">
        <v>41296107.1497398</v>
      </c>
      <c r="Y4" t="n">
        <v>2883816.39984653</v>
      </c>
      <c r="Z4" t="n">
        <v>150447510.092776</v>
      </c>
      <c r="AA4" t="n">
        <v>31959163.2174149</v>
      </c>
      <c r="AB4" t="n">
        <v>1283002711.30605</v>
      </c>
      <c r="AC4" t="n">
        <v>313401281.240054</v>
      </c>
      <c r="AD4" t="n">
        <v>112330616.788664</v>
      </c>
      <c r="AE4" t="n">
        <v>67945151.0602175</v>
      </c>
      <c r="AF4" t="n">
        <v>620611555.330845</v>
      </c>
      <c r="AG4" t="n">
        <v>25922449.1833678</v>
      </c>
      <c r="AH4" t="n">
        <v>85198317.6720218</v>
      </c>
      <c r="AI4" t="n">
        <v>296346.414073072</v>
      </c>
      <c r="AJ4" t="n">
        <v>300431533.356973</v>
      </c>
      <c r="AK4" t="n">
        <v>21465172.2614841</v>
      </c>
      <c r="AL4" t="n">
        <v>21989634.7888663</v>
      </c>
      <c r="AM4" t="n">
        <v>62748139.4040816</v>
      </c>
      <c r="AN4" t="n">
        <v>5651910.86275044</v>
      </c>
      <c r="AO4" t="n">
        <v>72817768.0710665</v>
      </c>
      <c r="AP4" t="n">
        <v>16336479.7560562</v>
      </c>
      <c r="AQ4" t="n">
        <v>820770153.657822</v>
      </c>
      <c r="AR4" t="n">
        <v>37730754.3866049</v>
      </c>
      <c r="AS4" t="n">
        <v>5342267060.44814</v>
      </c>
      <c r="AT4" t="n">
        <v>9814886.57133641</v>
      </c>
      <c r="AU4" t="n">
        <v>651573256.12887</v>
      </c>
      <c r="AV4" t="n">
        <v>-1680227.92022792</v>
      </c>
      <c r="AW4" t="n">
        <v>3842232206.94733</v>
      </c>
      <c r="AX4" t="n">
        <v>482120506.658379</v>
      </c>
      <c r="AY4" t="n">
        <v>128897817.800373</v>
      </c>
      <c r="AZ4" t="n">
        <v>122489505.447351</v>
      </c>
      <c r="BA4" t="n">
        <v>58698696.1436276</v>
      </c>
      <c r="BB4" t="n">
        <v>323980241.482828</v>
      </c>
      <c r="BC4" t="n">
        <v>69632818.0244685</v>
      </c>
      <c r="BD4" t="n">
        <v>180920866.748466</v>
      </c>
      <c r="BE4" t="n">
        <v>29592817.0137651</v>
      </c>
      <c r="BF4" t="n">
        <v>66146820.5076976</v>
      </c>
      <c r="BG4" t="n">
        <v>455945183.923906</v>
      </c>
      <c r="BH4" t="n">
        <v>392266985.667807</v>
      </c>
      <c r="BI4" t="n">
        <v>33847160.2945627</v>
      </c>
      <c r="BJ4" t="n">
        <v>26253811.3325709</v>
      </c>
      <c r="BK4" t="n">
        <v>55511070.4652371</v>
      </c>
      <c r="BL4" t="n">
        <v>45490743.9419504</v>
      </c>
      <c r="BM4" t="n">
        <v>246813569.672741</v>
      </c>
      <c r="BN4" t="n">
        <v>198967452.905247</v>
      </c>
      <c r="BO4" t="n">
        <v>281664258.031574</v>
      </c>
      <c r="BP4" t="n">
        <v>285209822.581373</v>
      </c>
      <c r="BQ4" t="n">
        <v>278434530.650149</v>
      </c>
      <c r="BR4" t="n">
        <v>22498206.5406349</v>
      </c>
      <c r="BS4" t="n">
        <v>605010838.54521</v>
      </c>
      <c r="BT4" t="n">
        <v>89906809.0237609</v>
      </c>
    </row>
    <row r="5">
      <c r="A5" t="s">
        <v>198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</row>
    <row r="6">
      <c r="A6" t="s">
        <v>199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</row>
    <row r="7">
      <c r="A7" t="s">
        <v>200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xSplit="1" topLeftCell="B9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201</v>
      </c>
    </row>
    <row r="2">
      <c r="A2" t="s">
        <v>202</v>
      </c>
    </row>
    <row r="3">
      <c r="A3" t="s">
        <v>203</v>
      </c>
    </row>
    <row r="4">
      <c r="A4" t="s">
        <v>204</v>
      </c>
    </row>
    <row r="5">
      <c r="A5" t="s">
        <v>205</v>
      </c>
    </row>
    <row r="6">
      <c r="A6" t="s">
        <v>1</v>
      </c>
    </row>
    <row r="8">
      <c r="A8" t="s">
        <v>206</v>
      </c>
      <c r="B8" t="s">
        <v>126</v>
      </c>
      <c r="C8" t="s">
        <v>127</v>
      </c>
      <c r="D8" t="s">
        <v>128</v>
      </c>
      <c r="E8" t="s">
        <v>129</v>
      </c>
      <c r="F8" t="s">
        <v>130</v>
      </c>
      <c r="G8" t="s">
        <v>131</v>
      </c>
      <c r="H8" t="s">
        <v>132</v>
      </c>
      <c r="I8" t="s">
        <v>133</v>
      </c>
      <c r="J8" t="s">
        <v>134</v>
      </c>
      <c r="K8" t="s">
        <v>135</v>
      </c>
      <c r="L8" t="s">
        <v>136</v>
      </c>
      <c r="M8" t="s">
        <v>137</v>
      </c>
      <c r="N8" t="s">
        <v>138</v>
      </c>
      <c r="O8" t="s">
        <v>139</v>
      </c>
      <c r="P8" t="s">
        <v>140</v>
      </c>
      <c r="Q8" t="s">
        <v>141</v>
      </c>
      <c r="R8" t="s">
        <v>142</v>
      </c>
      <c r="S8" t="s">
        <v>143</v>
      </c>
      <c r="T8" t="s">
        <v>144</v>
      </c>
      <c r="U8" t="s">
        <v>145</v>
      </c>
      <c r="V8" t="s">
        <v>146</v>
      </c>
      <c r="W8" t="s">
        <v>147</v>
      </c>
      <c r="X8" t="s">
        <v>148</v>
      </c>
      <c r="Y8" t="s">
        <v>149</v>
      </c>
      <c r="Z8" t="s">
        <v>150</v>
      </c>
      <c r="AA8" t="s">
        <v>151</v>
      </c>
      <c r="AB8" t="s">
        <v>152</v>
      </c>
      <c r="AC8" t="s">
        <v>153</v>
      </c>
      <c r="AD8" t="s">
        <v>154</v>
      </c>
      <c r="AE8" t="s">
        <v>155</v>
      </c>
      <c r="AF8" t="s">
        <v>156</v>
      </c>
      <c r="AG8" t="s">
        <v>157</v>
      </c>
      <c r="AH8" t="s">
        <v>158</v>
      </c>
      <c r="AI8" t="s">
        <v>159</v>
      </c>
      <c r="AJ8" t="s">
        <v>160</v>
      </c>
      <c r="AK8" t="s">
        <v>161</v>
      </c>
      <c r="AL8" t="s">
        <v>162</v>
      </c>
      <c r="AM8" t="s">
        <v>163</v>
      </c>
      <c r="AN8" t="s">
        <v>164</v>
      </c>
      <c r="AO8" t="s">
        <v>165</v>
      </c>
      <c r="AP8" t="s">
        <v>166</v>
      </c>
      <c r="AQ8" t="s">
        <v>167</v>
      </c>
      <c r="AR8" t="s">
        <v>168</v>
      </c>
      <c r="AS8" t="s">
        <v>169</v>
      </c>
      <c r="AT8" t="s">
        <v>170</v>
      </c>
      <c r="AU8" t="s">
        <v>171</v>
      </c>
      <c r="AV8" t="s">
        <v>172</v>
      </c>
      <c r="AW8" t="s">
        <v>173</v>
      </c>
      <c r="AX8" t="s">
        <v>174</v>
      </c>
      <c r="AY8" t="s">
        <v>175</v>
      </c>
      <c r="AZ8" t="s">
        <v>176</v>
      </c>
      <c r="BA8" t="s">
        <v>177</v>
      </c>
      <c r="BB8" t="s">
        <v>178</v>
      </c>
      <c r="BC8" t="s">
        <v>179</v>
      </c>
      <c r="BD8" t="s">
        <v>180</v>
      </c>
      <c r="BE8" t="s">
        <v>181</v>
      </c>
      <c r="BF8" t="s">
        <v>182</v>
      </c>
      <c r="BG8" t="s">
        <v>183</v>
      </c>
      <c r="BH8" t="s">
        <v>184</v>
      </c>
      <c r="BI8" t="s">
        <v>185</v>
      </c>
      <c r="BJ8" t="s">
        <v>186</v>
      </c>
      <c r="BK8" t="s">
        <v>187</v>
      </c>
      <c r="BL8" t="s">
        <v>188</v>
      </c>
      <c r="BM8" t="s">
        <v>189</v>
      </c>
      <c r="BN8" t="s">
        <v>190</v>
      </c>
      <c r="BO8" t="s">
        <v>191</v>
      </c>
      <c r="BP8" t="s">
        <v>192</v>
      </c>
      <c r="BQ8" t="s">
        <v>193</v>
      </c>
      <c r="BR8" t="s">
        <v>194</v>
      </c>
      <c r="BS8" t="s">
        <v>195</v>
      </c>
      <c r="BT8" t="s">
        <v>196</v>
      </c>
      <c r="BU8" t="s">
        <v>207</v>
      </c>
      <c r="BV8" t="s">
        <v>208</v>
      </c>
    </row>
    <row r="9">
      <c r="A9" t="s">
        <v>126</v>
      </c>
      <c r="B9" t="n">
        <v>9482422872.09651</v>
      </c>
      <c r="C9" t="n">
        <v>136550448.512935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112463.686726143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48612867.2575044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s">
        <v>127</v>
      </c>
      <c r="B10" t="n">
        <v>26801.8640417626</v>
      </c>
      <c r="C10" t="n">
        <v>199326006.739765</v>
      </c>
      <c r="D10" t="n">
        <v>0</v>
      </c>
      <c r="E10" t="n">
        <v>0</v>
      </c>
      <c r="F10" t="n">
        <v>0</v>
      </c>
      <c r="G10" t="n">
        <v>0</v>
      </c>
      <c r="H10" t="n">
        <v>646188.873074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s">
        <v>128</v>
      </c>
      <c r="B11" t="n">
        <v>0</v>
      </c>
      <c r="C11" t="n">
        <v>0</v>
      </c>
      <c r="D11" t="n">
        <v>2822053.7862485</v>
      </c>
      <c r="E11" t="n">
        <v>344.99938511808</v>
      </c>
      <c r="F11" t="n">
        <v>79934.2533100688</v>
      </c>
      <c r="G11" t="n">
        <v>0</v>
      </c>
      <c r="H11" t="n">
        <v>8127.17598303164</v>
      </c>
      <c r="I11" t="n">
        <v>0</v>
      </c>
      <c r="J11" t="n">
        <v>0</v>
      </c>
      <c r="K11" t="n">
        <v>0</v>
      </c>
      <c r="L11" t="n">
        <v>0</v>
      </c>
      <c r="M11" t="n">
        <v>399.58852720158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10971491.97424</v>
      </c>
      <c r="Z11" t="n">
        <v>3746.13103657259</v>
      </c>
      <c r="AA11" t="n">
        <v>0</v>
      </c>
      <c r="AB11" t="n">
        <v>7597.03703500624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787.912931927663</v>
      </c>
      <c r="BB11" t="n">
        <v>4367.56674611754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s">
        <v>129</v>
      </c>
      <c r="B12" t="n">
        <v>0</v>
      </c>
      <c r="C12" t="n">
        <v>0</v>
      </c>
      <c r="D12" t="n">
        <v>0</v>
      </c>
      <c r="E12" t="n">
        <v>133994525.665891</v>
      </c>
      <c r="F12" t="n">
        <v>6908723.24169253</v>
      </c>
      <c r="G12" t="n">
        <v>0</v>
      </c>
      <c r="H12" t="n">
        <v>12818543.2781016</v>
      </c>
      <c r="I12" t="n">
        <v>0</v>
      </c>
      <c r="J12" t="n">
        <v>249492.283313792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4860748.11082537</v>
      </c>
      <c r="Z12" t="n">
        <v>5836387.21831437</v>
      </c>
      <c r="AA12" t="n">
        <v>0</v>
      </c>
      <c r="AB12" t="n">
        <v>524102.64740733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3215.35366507564</v>
      </c>
      <c r="BB12" t="n">
        <v>106106.670947496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s">
        <v>130</v>
      </c>
      <c r="B13" t="n">
        <v>0</v>
      </c>
      <c r="C13" t="n">
        <v>0</v>
      </c>
      <c r="D13" t="n">
        <v>24057.7473461391</v>
      </c>
      <c r="E13" t="n">
        <v>0</v>
      </c>
      <c r="F13" t="n">
        <v>8609206.2985218</v>
      </c>
      <c r="G13" t="n">
        <v>0</v>
      </c>
      <c r="H13" t="n">
        <v>573023.592347168</v>
      </c>
      <c r="I13" t="n">
        <v>0</v>
      </c>
      <c r="J13" t="n">
        <v>0</v>
      </c>
      <c r="K13" t="n">
        <v>0</v>
      </c>
      <c r="L13" t="n">
        <v>45408.4749670768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243793.154735925</v>
      </c>
      <c r="Z13" t="n">
        <v>0</v>
      </c>
      <c r="AA13" t="n">
        <v>0</v>
      </c>
      <c r="AB13" t="n">
        <v>31819.4048407236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3497.39148033815</v>
      </c>
      <c r="BB13" t="n">
        <v>22424.4512562858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s">
        <v>131</v>
      </c>
      <c r="B14" t="n">
        <v>0</v>
      </c>
      <c r="C14" t="n">
        <v>0</v>
      </c>
      <c r="D14" t="n">
        <v>239685.125181939</v>
      </c>
      <c r="E14" t="n">
        <v>0</v>
      </c>
      <c r="F14" t="n">
        <v>0</v>
      </c>
      <c r="G14" t="n">
        <v>1398517384.62098</v>
      </c>
      <c r="H14" t="n">
        <v>7582194.66973756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4152615.93348067</v>
      </c>
      <c r="AC14" t="n">
        <v>0</v>
      </c>
      <c r="AD14" t="n">
        <v>0</v>
      </c>
      <c r="AE14" t="n">
        <v>0</v>
      </c>
      <c r="AF14" t="n">
        <v>2487691.19964353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8039287.1507411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1144116.33123917</v>
      </c>
      <c r="BB14" t="n">
        <v>340741.667657187</v>
      </c>
      <c r="BC14" t="n">
        <v>0</v>
      </c>
      <c r="BD14" t="n">
        <v>0</v>
      </c>
      <c r="BE14" t="n">
        <v>5348.74362179096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12385821.1064657</v>
      </c>
      <c r="BU14" t="n">
        <v>0</v>
      </c>
      <c r="BV14" t="n">
        <v>0</v>
      </c>
    </row>
    <row r="15">
      <c r="A15" t="s">
        <v>132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4124466937.19247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859770.04257266</v>
      </c>
      <c r="BB15" t="n">
        <v>54777.5927400864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133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6148887.1296271</v>
      </c>
      <c r="I16" t="n">
        <v>585530251.557401</v>
      </c>
      <c r="J16" t="n">
        <v>802051.826430955</v>
      </c>
      <c r="K16" t="n">
        <v>0</v>
      </c>
      <c r="L16" t="n">
        <v>4188572.90617197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2714387.23882388</v>
      </c>
      <c r="S16" t="n">
        <v>0</v>
      </c>
      <c r="T16" t="n">
        <v>0</v>
      </c>
      <c r="U16" t="n">
        <v>0</v>
      </c>
      <c r="V16" t="n">
        <v>0</v>
      </c>
      <c r="W16" t="n">
        <v>73333.6268806033</v>
      </c>
      <c r="X16" t="n">
        <v>0</v>
      </c>
      <c r="Y16" t="n">
        <v>0</v>
      </c>
      <c r="Z16" t="n">
        <v>469588.772376292</v>
      </c>
      <c r="AA16" t="n">
        <v>1883575.00131297</v>
      </c>
      <c r="AB16" t="n">
        <v>10760552.4768474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191067.114197452</v>
      </c>
      <c r="BB16" t="n">
        <v>920596.095678634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2483872.48456688</v>
      </c>
      <c r="BV16" t="n">
        <v>0</v>
      </c>
    </row>
    <row r="17">
      <c r="A17" t="s">
        <v>134</v>
      </c>
      <c r="B17" t="n">
        <v>0</v>
      </c>
      <c r="C17" t="n">
        <v>0</v>
      </c>
      <c r="D17" t="n">
        <v>0</v>
      </c>
      <c r="E17" t="n">
        <v>972697.973976302</v>
      </c>
      <c r="F17" t="n">
        <v>0</v>
      </c>
      <c r="G17" t="n">
        <v>0</v>
      </c>
      <c r="H17" t="n">
        <v>2049351.2074623</v>
      </c>
      <c r="I17" t="n">
        <v>18064.320230401</v>
      </c>
      <c r="J17" t="n">
        <v>325017540.090173</v>
      </c>
      <c r="K17" t="n">
        <v>1702.55497108772</v>
      </c>
      <c r="L17" t="n">
        <v>157147.316143202</v>
      </c>
      <c r="M17" t="n">
        <v>6319.36317503664</v>
      </c>
      <c r="N17" t="n">
        <v>0</v>
      </c>
      <c r="O17" t="n">
        <v>285650.99053282</v>
      </c>
      <c r="P17" t="n">
        <v>14871.0006907692</v>
      </c>
      <c r="Q17" t="n">
        <v>1362.93231964775</v>
      </c>
      <c r="R17" t="n">
        <v>125566.525132314</v>
      </c>
      <c r="S17" t="n">
        <v>1939.87665309693</v>
      </c>
      <c r="T17" t="n">
        <v>0</v>
      </c>
      <c r="U17" t="n">
        <v>12850.2325322433</v>
      </c>
      <c r="V17" t="n">
        <v>34174.9722491975</v>
      </c>
      <c r="W17" t="n">
        <v>41074.8484721402</v>
      </c>
      <c r="X17" t="n">
        <v>0</v>
      </c>
      <c r="Y17" t="n">
        <v>7113921.7147494</v>
      </c>
      <c r="Z17" t="n">
        <v>340291.766496295</v>
      </c>
      <c r="AA17" t="n">
        <v>918244.924057752</v>
      </c>
      <c r="AB17" t="n">
        <v>2959229.12944764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89287.0858022994</v>
      </c>
      <c r="BB17" t="n">
        <v>1838888.79092831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8503.53198117137</v>
      </c>
      <c r="BV17" t="n">
        <v>0</v>
      </c>
    </row>
    <row r="18">
      <c r="A18" t="s">
        <v>135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163339.580745557</v>
      </c>
      <c r="I18" t="n">
        <v>0</v>
      </c>
      <c r="J18" t="n">
        <v>79191.784519925</v>
      </c>
      <c r="K18" t="n">
        <v>188617899.603485</v>
      </c>
      <c r="L18" t="n">
        <v>2295017.38431338</v>
      </c>
      <c r="M18" t="n">
        <v>73715.9329557067</v>
      </c>
      <c r="N18" t="n">
        <v>739.106814043355</v>
      </c>
      <c r="O18" t="n">
        <v>204782.597316136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334.244848996386</v>
      </c>
      <c r="V18" t="n">
        <v>0</v>
      </c>
      <c r="W18" t="n">
        <v>586.803160318865</v>
      </c>
      <c r="X18" t="n">
        <v>0</v>
      </c>
      <c r="Y18" t="n">
        <v>32140958.2421915</v>
      </c>
      <c r="Z18" t="n">
        <v>370808.710067728</v>
      </c>
      <c r="AA18" t="n">
        <v>0</v>
      </c>
      <c r="AB18" t="n">
        <v>646718.502626719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63742.2754129004</v>
      </c>
      <c r="BB18" t="n">
        <v>312735.538744543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340622.784237687</v>
      </c>
      <c r="BV18" t="n">
        <v>0</v>
      </c>
    </row>
    <row r="19">
      <c r="A19" t="s">
        <v>136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2019517.3402696</v>
      </c>
      <c r="I19" t="n">
        <v>86402.8544156822</v>
      </c>
      <c r="J19" t="n">
        <v>173774.627941513</v>
      </c>
      <c r="K19" t="n">
        <v>2150922.58266123</v>
      </c>
      <c r="L19" t="n">
        <v>626374137.193313</v>
      </c>
      <c r="M19" t="n">
        <v>1009549.20706595</v>
      </c>
      <c r="N19" t="n">
        <v>410156.813232645</v>
      </c>
      <c r="O19" t="n">
        <v>177771.910425306</v>
      </c>
      <c r="P19" t="n">
        <v>208606.224667424</v>
      </c>
      <c r="Q19" t="n">
        <v>123946.134187073</v>
      </c>
      <c r="R19" t="n">
        <v>24654.281736989</v>
      </c>
      <c r="S19" t="n">
        <v>19291.6139123394</v>
      </c>
      <c r="T19" t="n">
        <v>0</v>
      </c>
      <c r="U19" t="n">
        <v>20918.6390610428</v>
      </c>
      <c r="V19" t="n">
        <v>0</v>
      </c>
      <c r="W19" t="n">
        <v>648.140268016542</v>
      </c>
      <c r="X19" t="n">
        <v>51782.4959043487</v>
      </c>
      <c r="Y19" t="n">
        <v>82433.116701531</v>
      </c>
      <c r="Z19" t="n">
        <v>77944.003520339</v>
      </c>
      <c r="AA19" t="n">
        <v>1178598.87606585</v>
      </c>
      <c r="AB19" t="n">
        <v>2842706.7236902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246728.362838367</v>
      </c>
      <c r="BB19" t="n">
        <v>2228170.33847241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307648.946255248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2595978.36085183</v>
      </c>
      <c r="BV19" t="n">
        <v>0</v>
      </c>
    </row>
    <row r="20">
      <c r="A20" t="s">
        <v>137</v>
      </c>
      <c r="B20" t="n">
        <v>0</v>
      </c>
      <c r="C20" t="n">
        <v>0</v>
      </c>
      <c r="D20" t="n">
        <v>0</v>
      </c>
      <c r="E20" t="n">
        <v>0</v>
      </c>
      <c r="F20" t="n">
        <v>7062.54735912548</v>
      </c>
      <c r="G20" t="n">
        <v>0</v>
      </c>
      <c r="H20" t="n">
        <v>4647156.16230456</v>
      </c>
      <c r="I20" t="n">
        <v>0</v>
      </c>
      <c r="J20" t="n">
        <v>294721.388028839</v>
      </c>
      <c r="K20" t="n">
        <v>89996.6332917918</v>
      </c>
      <c r="L20" t="n">
        <v>24013922.5593119</v>
      </c>
      <c r="M20" t="n">
        <v>1681330996.96384</v>
      </c>
      <c r="N20" t="n">
        <v>3930290.76509634</v>
      </c>
      <c r="O20" t="n">
        <v>9121195.71772274</v>
      </c>
      <c r="P20" t="n">
        <v>2143475.16858135</v>
      </c>
      <c r="Q20" t="n">
        <v>3493185.11198877</v>
      </c>
      <c r="R20" t="n">
        <v>33908.0982563951</v>
      </c>
      <c r="S20" t="n">
        <v>63690.9291682998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2096243.85259048</v>
      </c>
      <c r="AA20" t="n">
        <v>238477.675335042</v>
      </c>
      <c r="AB20" t="n">
        <v>35757677.2792523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91813.1156686312</v>
      </c>
      <c r="AZ20" t="n">
        <v>0</v>
      </c>
      <c r="BA20" t="n">
        <v>4414092.09945342</v>
      </c>
      <c r="BB20" t="n">
        <v>64219743.136528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2189389.6813289</v>
      </c>
      <c r="BV20" t="n">
        <v>0</v>
      </c>
    </row>
    <row r="21">
      <c r="A21" t="s">
        <v>138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10147.0750680422</v>
      </c>
      <c r="I21" t="n">
        <v>0</v>
      </c>
      <c r="J21" t="n">
        <v>2372.39562150603</v>
      </c>
      <c r="K21" t="n">
        <v>7693.84105580596</v>
      </c>
      <c r="L21" t="n">
        <v>36997.3705212886</v>
      </c>
      <c r="M21" t="n">
        <v>41098.8642211582</v>
      </c>
      <c r="N21" t="n">
        <v>210957175.732614</v>
      </c>
      <c r="O21" t="n">
        <v>52595.9438745151</v>
      </c>
      <c r="P21" t="n">
        <v>369.560180811499</v>
      </c>
      <c r="Q21" t="n">
        <v>201986.979912924</v>
      </c>
      <c r="R21" t="n">
        <v>0</v>
      </c>
      <c r="S21" t="n">
        <v>43162.274831115</v>
      </c>
      <c r="T21" t="n">
        <v>0</v>
      </c>
      <c r="U21" t="n">
        <v>408.440321393369</v>
      </c>
      <c r="V21" t="n">
        <v>0</v>
      </c>
      <c r="W21" t="n">
        <v>101.108152581948</v>
      </c>
      <c r="X21" t="n">
        <v>178.018860842845</v>
      </c>
      <c r="Y21" t="n">
        <v>0</v>
      </c>
      <c r="Z21" t="n">
        <v>98451.4366554702</v>
      </c>
      <c r="AA21" t="n">
        <v>47830.0974070152</v>
      </c>
      <c r="AB21" t="n">
        <v>450743.755654083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208282.067186129</v>
      </c>
      <c r="BB21" t="n">
        <v>9462948.58582311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139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62290.0995151359</v>
      </c>
      <c r="I22" t="n">
        <v>0</v>
      </c>
      <c r="J22" t="n">
        <v>104296.366543516</v>
      </c>
      <c r="K22" t="n">
        <v>431297.363126328</v>
      </c>
      <c r="L22" t="n">
        <v>341009.767813209</v>
      </c>
      <c r="M22" t="n">
        <v>146409.934146757</v>
      </c>
      <c r="N22" t="n">
        <v>211133.528493289</v>
      </c>
      <c r="O22" t="n">
        <v>185978991.014859</v>
      </c>
      <c r="P22" t="n">
        <v>87662.7579249048</v>
      </c>
      <c r="Q22" t="n">
        <v>0</v>
      </c>
      <c r="R22" t="n">
        <v>3965.84721135771</v>
      </c>
      <c r="S22" t="n">
        <v>1456.03615038351</v>
      </c>
      <c r="T22" t="n">
        <v>0</v>
      </c>
      <c r="U22" t="n">
        <v>0</v>
      </c>
      <c r="V22" t="n">
        <v>0</v>
      </c>
      <c r="W22" t="n">
        <v>34432.9042548612</v>
      </c>
      <c r="X22" t="n">
        <v>0</v>
      </c>
      <c r="Y22" t="n">
        <v>170554.582231962</v>
      </c>
      <c r="Z22" t="n">
        <v>2144.16966096717</v>
      </c>
      <c r="AA22" t="n">
        <v>243970.263501867</v>
      </c>
      <c r="AB22" t="n">
        <v>1865701.05294732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139589.861564039</v>
      </c>
      <c r="BB22" t="n">
        <v>2153886.57359566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140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1025184.31036902</v>
      </c>
      <c r="I23" t="n">
        <v>0</v>
      </c>
      <c r="J23" t="n">
        <v>0</v>
      </c>
      <c r="K23" t="n">
        <v>84292.373494946</v>
      </c>
      <c r="L23" t="n">
        <v>5589410.94874129</v>
      </c>
      <c r="M23" t="n">
        <v>1449325.09425368</v>
      </c>
      <c r="N23" t="n">
        <v>125509.421220553</v>
      </c>
      <c r="O23" t="n">
        <v>383378.862977556</v>
      </c>
      <c r="P23" t="n">
        <v>1186263811.48405</v>
      </c>
      <c r="Q23" t="n">
        <v>4386638.51652319</v>
      </c>
      <c r="R23" t="n">
        <v>0</v>
      </c>
      <c r="S23" t="n">
        <v>5304.89438743337</v>
      </c>
      <c r="T23" t="n">
        <v>0</v>
      </c>
      <c r="U23" t="n">
        <v>317174.894093963</v>
      </c>
      <c r="V23" t="n">
        <v>0</v>
      </c>
      <c r="W23" t="n">
        <v>0</v>
      </c>
      <c r="X23" t="n">
        <v>0</v>
      </c>
      <c r="Y23" t="n">
        <v>0</v>
      </c>
      <c r="Z23" t="n">
        <v>52255.017392592</v>
      </c>
      <c r="AA23" t="n">
        <v>1106593.86799558</v>
      </c>
      <c r="AB23" t="n">
        <v>5758087.64558079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519080.663477984</v>
      </c>
      <c r="BB23" t="n">
        <v>26723384.8715541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685928.019595908</v>
      </c>
      <c r="BV23" t="n">
        <v>0</v>
      </c>
    </row>
    <row r="24">
      <c r="A24" t="s">
        <v>141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52034.7177919108</v>
      </c>
      <c r="I24" t="n">
        <v>0</v>
      </c>
      <c r="J24" t="n">
        <v>0</v>
      </c>
      <c r="K24" t="n">
        <v>43.257395810795</v>
      </c>
      <c r="L24" t="n">
        <v>24117.9029464419</v>
      </c>
      <c r="M24" t="n">
        <v>10844.303505096</v>
      </c>
      <c r="N24" t="n">
        <v>54574.0769837165</v>
      </c>
      <c r="O24" t="n">
        <v>25898.0718845069</v>
      </c>
      <c r="P24" t="n">
        <v>42289.6323484025</v>
      </c>
      <c r="Q24" t="n">
        <v>74187159.0625166</v>
      </c>
      <c r="R24" t="n">
        <v>0</v>
      </c>
      <c r="S24" t="n">
        <v>103.362532409706</v>
      </c>
      <c r="T24" t="n">
        <v>0</v>
      </c>
      <c r="U24" t="n">
        <v>0</v>
      </c>
      <c r="V24" t="n">
        <v>57.383520572774</v>
      </c>
      <c r="W24" t="n">
        <v>0</v>
      </c>
      <c r="X24" t="n">
        <v>0</v>
      </c>
      <c r="Y24" t="n">
        <v>0</v>
      </c>
      <c r="Z24" t="n">
        <v>3460.54690108483</v>
      </c>
      <c r="AA24" t="n">
        <v>17419.1952468704</v>
      </c>
      <c r="AB24" t="n">
        <v>84623.9355093358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34329.7100080426</v>
      </c>
      <c r="BB24" t="n">
        <v>845879.253240127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2400.67902154144</v>
      </c>
      <c r="BV24" t="n">
        <v>0</v>
      </c>
    </row>
    <row r="25">
      <c r="A25" t="s">
        <v>142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1692740.90126989</v>
      </c>
      <c r="I25" t="n">
        <v>710927.370052175</v>
      </c>
      <c r="J25" t="n">
        <v>130133.434658854</v>
      </c>
      <c r="K25" t="n">
        <v>78102.5973664548</v>
      </c>
      <c r="L25" t="n">
        <v>845634.287822004</v>
      </c>
      <c r="M25" t="n">
        <v>110641.44030254</v>
      </c>
      <c r="N25" t="n">
        <v>49053.1741675984</v>
      </c>
      <c r="O25" t="n">
        <v>140987.129530137</v>
      </c>
      <c r="P25" t="n">
        <v>0</v>
      </c>
      <c r="Q25" t="n">
        <v>0</v>
      </c>
      <c r="R25" t="n">
        <v>318766150.237498</v>
      </c>
      <c r="S25" t="n">
        <v>94476.2151545708</v>
      </c>
      <c r="T25" t="n">
        <v>0</v>
      </c>
      <c r="U25" t="n">
        <v>87218.3557965062</v>
      </c>
      <c r="V25" t="n">
        <v>6683.11297758033</v>
      </c>
      <c r="W25" t="n">
        <v>3727.25032376154</v>
      </c>
      <c r="X25" t="n">
        <v>28830.1370045967</v>
      </c>
      <c r="Y25" t="n">
        <v>0</v>
      </c>
      <c r="Z25" t="n">
        <v>112159.113199656</v>
      </c>
      <c r="AA25" t="n">
        <v>154593.287357218</v>
      </c>
      <c r="AB25" t="n">
        <v>3537869.66956408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247115.4600394</v>
      </c>
      <c r="BB25" t="n">
        <v>1116138.16117796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143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14100875.7459093</v>
      </c>
      <c r="I26" t="n">
        <v>849090.333801562</v>
      </c>
      <c r="J26" t="n">
        <v>787730.910113875</v>
      </c>
      <c r="K26" t="n">
        <v>138530.289434435</v>
      </c>
      <c r="L26" t="n">
        <v>33219519.3729634</v>
      </c>
      <c r="M26" t="n">
        <v>1875158.94488924</v>
      </c>
      <c r="N26" t="n">
        <v>21599499.7527991</v>
      </c>
      <c r="O26" t="n">
        <v>879989.991771558</v>
      </c>
      <c r="P26" t="n">
        <v>88050.3301611526</v>
      </c>
      <c r="Q26" t="n">
        <v>817335.321463516</v>
      </c>
      <c r="R26" t="n">
        <v>4075574.66995072</v>
      </c>
      <c r="S26" t="n">
        <v>697234118.776607</v>
      </c>
      <c r="T26" t="n">
        <v>76285.0520227538</v>
      </c>
      <c r="U26" t="n">
        <v>391351.366086725</v>
      </c>
      <c r="V26" t="n">
        <v>11888558.3229307</v>
      </c>
      <c r="W26" t="n">
        <v>909232.411794485</v>
      </c>
      <c r="X26" t="n">
        <v>8810412.64841565</v>
      </c>
      <c r="Y26" t="n">
        <v>368415.799774149</v>
      </c>
      <c r="Z26" t="n">
        <v>11177749.5455518</v>
      </c>
      <c r="AA26" t="n">
        <v>27941288.8746681</v>
      </c>
      <c r="AB26" t="n">
        <v>118245011.860315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7419294.8618237</v>
      </c>
      <c r="BB26" t="n">
        <v>286359488.61573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144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211946.9637829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516.80417915043</v>
      </c>
      <c r="T27" t="n">
        <v>2510723946.60611</v>
      </c>
      <c r="U27" t="n">
        <v>0</v>
      </c>
      <c r="V27" t="n">
        <v>382726.118642281</v>
      </c>
      <c r="W27" t="n">
        <v>34624.4136372624</v>
      </c>
      <c r="X27" t="n">
        <v>0</v>
      </c>
      <c r="Y27" t="n">
        <v>704210.752202167</v>
      </c>
      <c r="Z27" t="n">
        <v>6530961.84253585</v>
      </c>
      <c r="AA27" t="n">
        <v>0</v>
      </c>
      <c r="AB27" t="n">
        <v>14219714.4792528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164981.44339919</v>
      </c>
      <c r="BB27" t="n">
        <v>3473040.0201698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s">
        <v>145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99177.4978992487</v>
      </c>
      <c r="I28" t="n">
        <v>0</v>
      </c>
      <c r="J28" t="n">
        <v>4528.08652587227</v>
      </c>
      <c r="K28" t="n">
        <v>0</v>
      </c>
      <c r="L28" t="n">
        <v>349867.203248789</v>
      </c>
      <c r="M28" t="n">
        <v>6861.95424907805</v>
      </c>
      <c r="N28" t="n">
        <v>67154.4890363503</v>
      </c>
      <c r="O28" t="n">
        <v>0</v>
      </c>
      <c r="P28" t="n">
        <v>573998.095488495</v>
      </c>
      <c r="Q28" t="n">
        <v>0</v>
      </c>
      <c r="R28" t="n">
        <v>65604.6861809129</v>
      </c>
      <c r="S28" t="n">
        <v>5653.5633077116</v>
      </c>
      <c r="T28" t="n">
        <v>0</v>
      </c>
      <c r="U28" t="n">
        <v>82257371.7102471</v>
      </c>
      <c r="V28" t="n">
        <v>208832.798092682</v>
      </c>
      <c r="W28" t="n">
        <v>2649.28652685205</v>
      </c>
      <c r="X28" t="n">
        <v>351629.3107337</v>
      </c>
      <c r="Y28" t="n">
        <v>0</v>
      </c>
      <c r="Z28" t="n">
        <v>18343922.6570481</v>
      </c>
      <c r="AA28" t="n">
        <v>3523514.62410141</v>
      </c>
      <c r="AB28" t="n">
        <v>1174351.73648883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27048.4085179769</v>
      </c>
      <c r="BB28" t="n">
        <v>635637.600172457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146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362.171287674008</v>
      </c>
      <c r="I29" t="n">
        <v>0</v>
      </c>
      <c r="J29" t="n">
        <v>7191.04191545663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490.788975228924</v>
      </c>
      <c r="T29" t="n">
        <v>164850.340922918</v>
      </c>
      <c r="U29" t="n">
        <v>10156.6147639859</v>
      </c>
      <c r="V29" t="n">
        <v>4111247.4294898</v>
      </c>
      <c r="W29" t="n">
        <v>0</v>
      </c>
      <c r="X29" t="n">
        <v>3078.45594522907</v>
      </c>
      <c r="Y29" t="n">
        <v>0</v>
      </c>
      <c r="Z29" t="n">
        <v>92707.859158318</v>
      </c>
      <c r="AA29" t="n">
        <v>1181.95117047656</v>
      </c>
      <c r="AB29" t="n">
        <v>67907.1164388765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3259.54158906607</v>
      </c>
      <c r="BB29" t="n">
        <v>42192.9550140219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147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82310.9822401806</v>
      </c>
      <c r="I30" t="n">
        <v>156514.654092481</v>
      </c>
      <c r="J30" t="n">
        <v>7634.72435884165</v>
      </c>
      <c r="K30" t="n">
        <v>0</v>
      </c>
      <c r="L30" t="n">
        <v>0</v>
      </c>
      <c r="M30" t="n">
        <v>0</v>
      </c>
      <c r="N30" t="n">
        <v>65323.1651137589</v>
      </c>
      <c r="O30" t="n">
        <v>0</v>
      </c>
      <c r="P30" t="n">
        <v>0</v>
      </c>
      <c r="Q30" t="n">
        <v>0</v>
      </c>
      <c r="R30" t="n">
        <v>0</v>
      </c>
      <c r="S30" t="n">
        <v>895.8728558915</v>
      </c>
      <c r="T30" t="n">
        <v>0</v>
      </c>
      <c r="U30" t="n">
        <v>55675.5938196661</v>
      </c>
      <c r="V30" t="n">
        <v>0</v>
      </c>
      <c r="W30" t="n">
        <v>179689666.88456</v>
      </c>
      <c r="X30" t="n">
        <v>182627.491845401</v>
      </c>
      <c r="Y30" t="n">
        <v>0</v>
      </c>
      <c r="Z30" t="n">
        <v>47574.2488030257</v>
      </c>
      <c r="AA30" t="n">
        <v>752633.991598037</v>
      </c>
      <c r="AB30" t="n">
        <v>1094050.1389424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47157.3335751035</v>
      </c>
      <c r="BB30" t="n">
        <v>683352.6338065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418414.159720918</v>
      </c>
      <c r="BV30" t="n">
        <v>0</v>
      </c>
    </row>
    <row r="31">
      <c r="A31" t="s">
        <v>148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50382.3341502485</v>
      </c>
      <c r="I31" t="n">
        <v>24965.5799445946</v>
      </c>
      <c r="J31" t="n">
        <v>0</v>
      </c>
      <c r="K31" t="n">
        <v>0</v>
      </c>
      <c r="L31" t="n">
        <v>658539.066402084</v>
      </c>
      <c r="M31" t="n">
        <v>112816.374870182</v>
      </c>
      <c r="N31" t="n">
        <v>42287.061411438</v>
      </c>
      <c r="O31" t="n">
        <v>54805.7753658726</v>
      </c>
      <c r="P31" t="n">
        <v>0</v>
      </c>
      <c r="Q31" t="n">
        <v>0</v>
      </c>
      <c r="R31" t="n">
        <v>38463.9107239117</v>
      </c>
      <c r="S31" t="n">
        <v>320122.988987665</v>
      </c>
      <c r="T31" t="n">
        <v>0</v>
      </c>
      <c r="U31" t="n">
        <v>423719.974515276</v>
      </c>
      <c r="V31" t="n">
        <v>18040.6330946234</v>
      </c>
      <c r="W31" t="n">
        <v>1461979.46983445</v>
      </c>
      <c r="X31" t="n">
        <v>180576212.92792</v>
      </c>
      <c r="Y31" t="n">
        <v>0</v>
      </c>
      <c r="Z31" t="n">
        <v>0</v>
      </c>
      <c r="AA31" t="n">
        <v>1832200.72920104</v>
      </c>
      <c r="AB31" t="n">
        <v>2050857.36658659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563096.675796895</v>
      </c>
      <c r="BB31" t="n">
        <v>49170194.4639278</v>
      </c>
      <c r="BC31" t="n">
        <v>0</v>
      </c>
      <c r="BD31" t="n">
        <v>829826.68012174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471223.007640559</v>
      </c>
      <c r="BV31" t="n">
        <v>0</v>
      </c>
    </row>
    <row r="32">
      <c r="A32" t="s">
        <v>149</v>
      </c>
      <c r="B32" t="n">
        <v>0</v>
      </c>
      <c r="C32" t="n">
        <v>0</v>
      </c>
      <c r="D32" t="n">
        <v>0.193241915664124</v>
      </c>
      <c r="E32" t="n">
        <v>9.43100598449315</v>
      </c>
      <c r="F32" t="n">
        <v>0</v>
      </c>
      <c r="G32" t="n">
        <v>0</v>
      </c>
      <c r="H32" t="n">
        <v>63.6287295926742</v>
      </c>
      <c r="I32" t="n">
        <v>0</v>
      </c>
      <c r="J32" t="n">
        <v>45.6534476902638</v>
      </c>
      <c r="K32" t="n">
        <v>19.814252542838</v>
      </c>
      <c r="L32" t="n">
        <v>0</v>
      </c>
      <c r="M32" t="n">
        <v>0</v>
      </c>
      <c r="N32" t="n">
        <v>0</v>
      </c>
      <c r="O32" t="n">
        <v>1.776867522816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14563551.1864584</v>
      </c>
      <c r="Z32" t="n">
        <v>25994.6057847844</v>
      </c>
      <c r="AA32" t="n">
        <v>0</v>
      </c>
      <c r="AB32" t="n">
        <v>2838.89041566168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10.2626983213991</v>
      </c>
      <c r="BB32" t="n">
        <v>161.010333664617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150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21134.400765285</v>
      </c>
      <c r="I33" t="n">
        <v>157.739001009692</v>
      </c>
      <c r="J33" t="n">
        <v>12637.8796679778</v>
      </c>
      <c r="K33" t="n">
        <v>436.107614801682</v>
      </c>
      <c r="L33" t="n">
        <v>11163.7239579477</v>
      </c>
      <c r="M33" t="n">
        <v>10229.0947126973</v>
      </c>
      <c r="N33" t="n">
        <v>235660.358356633</v>
      </c>
      <c r="O33" t="n">
        <v>5097.25356533637</v>
      </c>
      <c r="P33" t="n">
        <v>36.6008921032745</v>
      </c>
      <c r="Q33" t="n">
        <v>0</v>
      </c>
      <c r="R33" t="n">
        <v>0</v>
      </c>
      <c r="S33" t="n">
        <v>50702.2812341657</v>
      </c>
      <c r="T33" t="n">
        <v>1521665.79611309</v>
      </c>
      <c r="U33" t="n">
        <v>60.1781999170696</v>
      </c>
      <c r="V33" t="n">
        <v>14417.5288565329</v>
      </c>
      <c r="W33" t="n">
        <v>15494.0682758537</v>
      </c>
      <c r="X33" t="n">
        <v>0</v>
      </c>
      <c r="Y33" t="n">
        <v>37309181.3863616</v>
      </c>
      <c r="Z33" t="n">
        <v>444969485.733326</v>
      </c>
      <c r="AA33" t="n">
        <v>619332.487694554</v>
      </c>
      <c r="AB33" t="n">
        <v>1570192.932329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55959.6397621698</v>
      </c>
      <c r="BB33" t="n">
        <v>7841128.5254398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151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38495.1313285728</v>
      </c>
      <c r="I34" t="n">
        <v>30706.1497511312</v>
      </c>
      <c r="J34" t="n">
        <v>9977.9163827834</v>
      </c>
      <c r="K34" t="n">
        <v>1575.494873866</v>
      </c>
      <c r="L34" t="n">
        <v>284936.132852688</v>
      </c>
      <c r="M34" t="n">
        <v>45798.0130072916</v>
      </c>
      <c r="N34" t="n">
        <v>57355.343663551</v>
      </c>
      <c r="O34" t="n">
        <v>103352.355473027</v>
      </c>
      <c r="P34" t="n">
        <v>139561.341163981</v>
      </c>
      <c r="Q34" t="n">
        <v>19541.5693931215</v>
      </c>
      <c r="R34" t="n">
        <v>37067.7111649169</v>
      </c>
      <c r="S34" t="n">
        <v>54381.2476519716</v>
      </c>
      <c r="T34" t="n">
        <v>0</v>
      </c>
      <c r="U34" t="n">
        <v>77024.3332864112</v>
      </c>
      <c r="V34" t="n">
        <v>0</v>
      </c>
      <c r="W34" t="n">
        <v>154271.06010956</v>
      </c>
      <c r="X34" t="n">
        <v>14622.1816674424</v>
      </c>
      <c r="Y34" t="n">
        <v>61988.8474698084</v>
      </c>
      <c r="Z34" t="n">
        <v>1360708.00046398</v>
      </c>
      <c r="AA34" t="n">
        <v>248328361.314207</v>
      </c>
      <c r="AB34" t="n">
        <v>621890.338672447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53714.1367375434</v>
      </c>
      <c r="BB34" t="n">
        <v>508195.415911314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61472.8453774108</v>
      </c>
      <c r="BV34" t="n">
        <v>0</v>
      </c>
    </row>
    <row r="35">
      <c r="A35" t="s">
        <v>152</v>
      </c>
      <c r="B35" t="n">
        <v>0</v>
      </c>
      <c r="C35" t="n">
        <v>202169.043311592</v>
      </c>
      <c r="D35" t="n">
        <v>0</v>
      </c>
      <c r="E35" t="n">
        <v>0</v>
      </c>
      <c r="F35" t="n">
        <v>0</v>
      </c>
      <c r="G35" t="n">
        <v>0</v>
      </c>
      <c r="H35" t="n">
        <v>17498030.1153704</v>
      </c>
      <c r="I35" t="n">
        <v>0</v>
      </c>
      <c r="J35" t="n">
        <v>0</v>
      </c>
      <c r="K35" t="n">
        <v>0</v>
      </c>
      <c r="L35" t="n">
        <v>0</v>
      </c>
      <c r="M35" t="n">
        <v>1423.17023196953</v>
      </c>
      <c r="N35" t="n">
        <v>0</v>
      </c>
      <c r="O35" t="n">
        <v>0</v>
      </c>
      <c r="P35" t="n">
        <v>39615.7003302958</v>
      </c>
      <c r="Q35" t="n">
        <v>0</v>
      </c>
      <c r="R35" t="n">
        <v>0</v>
      </c>
      <c r="S35" t="n">
        <v>1747.14199338303</v>
      </c>
      <c r="T35" t="n">
        <v>4242271.45555608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5958581522.94793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202029.853801582</v>
      </c>
      <c r="AM35" t="n">
        <v>1576955.24772902</v>
      </c>
      <c r="AN35" t="n">
        <v>990507.47766609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36098806.5160744</v>
      </c>
      <c r="AZ35" t="n">
        <v>0</v>
      </c>
      <c r="BA35" t="n">
        <v>20242268.9628419</v>
      </c>
      <c r="BB35" t="n">
        <v>2401910.48408548</v>
      </c>
      <c r="BC35" t="n">
        <v>0</v>
      </c>
      <c r="BD35" t="n">
        <v>72955.2249839047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223641436.217968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153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24912.3314137376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1288486540.99469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15441493.4212817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763978.163354619</v>
      </c>
      <c r="AZ36" t="n">
        <v>0</v>
      </c>
      <c r="BA36" t="n">
        <v>336316.474085457</v>
      </c>
      <c r="BB36" t="n">
        <v>16608.2209424917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415205.523562293</v>
      </c>
      <c r="BM36" t="n">
        <v>0</v>
      </c>
      <c r="BN36" t="n">
        <v>0</v>
      </c>
      <c r="BO36" t="n">
        <v>236073404.531813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154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32380671.3735226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727323423.608496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110618.622695587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14948.4625264307</v>
      </c>
      <c r="AZ37" t="n">
        <v>0</v>
      </c>
      <c r="BA37" t="n">
        <v>29896.9250528614</v>
      </c>
      <c r="BB37" t="n">
        <v>2989.69250528614</v>
      </c>
      <c r="BC37" t="n">
        <v>0</v>
      </c>
      <c r="BD37" t="n">
        <v>5979.38501057228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2989.69250528614</v>
      </c>
      <c r="BM37" t="n">
        <v>0</v>
      </c>
      <c r="BN37" t="n">
        <v>33589195.2968898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155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5710022.65278216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9524720.85373961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793359088.304079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3443.92198599648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28780856.0369726</v>
      </c>
      <c r="BO38" t="n">
        <v>6753531.0145391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156</v>
      </c>
      <c r="B39" t="n">
        <v>521026.744170742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11425682.6474071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684590.638706831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2763694236.9049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1318347.99777774</v>
      </c>
      <c r="AQ39" t="n">
        <v>0</v>
      </c>
      <c r="AR39" t="n">
        <v>0</v>
      </c>
      <c r="AS39" t="n">
        <v>821351.728774227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3282791.14526005</v>
      </c>
      <c r="AZ39" t="n">
        <v>0</v>
      </c>
      <c r="BA39" t="n">
        <v>4734543.40471768</v>
      </c>
      <c r="BB39" t="n">
        <v>20057723.1090471</v>
      </c>
      <c r="BC39" t="n">
        <v>0</v>
      </c>
      <c r="BD39" t="n">
        <v>282503.142380944</v>
      </c>
      <c r="BE39" t="n">
        <v>0</v>
      </c>
      <c r="BF39" t="n">
        <v>290350.451891526</v>
      </c>
      <c r="BG39" t="n">
        <v>13078.849184303</v>
      </c>
      <c r="BH39" t="n">
        <v>0</v>
      </c>
      <c r="BI39" t="n">
        <v>0</v>
      </c>
      <c r="BJ39" t="n">
        <v>0</v>
      </c>
      <c r="BK39" t="n">
        <v>0</v>
      </c>
      <c r="BL39" t="n">
        <v>936445.601596093</v>
      </c>
      <c r="BM39" t="n">
        <v>0</v>
      </c>
      <c r="BN39" t="n">
        <v>51985809.7377675</v>
      </c>
      <c r="BO39" t="n">
        <v>36270264.557909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157</v>
      </c>
      <c r="B40" t="n">
        <v>0</v>
      </c>
      <c r="C40" t="n">
        <v>261556.880544355</v>
      </c>
      <c r="D40" t="n">
        <v>0</v>
      </c>
      <c r="E40" t="n">
        <v>0</v>
      </c>
      <c r="F40" t="n">
        <v>0</v>
      </c>
      <c r="G40" t="n">
        <v>0</v>
      </c>
      <c r="H40" t="n">
        <v>17571.8113153849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142379594.776387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758782.761346168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293396.001053852</v>
      </c>
      <c r="AZ40" t="n">
        <v>0</v>
      </c>
      <c r="BA40" t="n">
        <v>129924.907907695</v>
      </c>
      <c r="BB40" t="n">
        <v>981891.51713848</v>
      </c>
      <c r="BC40" t="n">
        <v>0</v>
      </c>
      <c r="BD40" t="n">
        <v>0</v>
      </c>
      <c r="BE40" t="n">
        <v>0</v>
      </c>
      <c r="BF40" t="n">
        <v>0</v>
      </c>
      <c r="BG40" t="n">
        <v>39935.9348076931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158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612804.746026935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307587374.96211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2019302.38600442</v>
      </c>
      <c r="AZ41" t="n">
        <v>0</v>
      </c>
      <c r="BA41" t="n">
        <v>383925.86498073</v>
      </c>
      <c r="BB41" t="n">
        <v>2621032.3474646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159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45.10599909788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2605367.61389265</v>
      </c>
      <c r="AJ42" t="n">
        <v>0</v>
      </c>
      <c r="AK42" t="n">
        <v>0</v>
      </c>
      <c r="AL42" t="n">
        <v>0</v>
      </c>
      <c r="AM42" t="n">
        <v>121831.303563374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721.69598556608</v>
      </c>
      <c r="BB42" t="n">
        <v>3473.16193053676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14749.6617050068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160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169809.83676258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1389974727.30191</v>
      </c>
      <c r="AK43" t="n">
        <v>0</v>
      </c>
      <c r="AL43" t="n">
        <v>0</v>
      </c>
      <c r="AM43" t="n">
        <v>76359053.7703038</v>
      </c>
      <c r="AN43" t="n">
        <v>24002251.2745717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1258807.70295739</v>
      </c>
      <c r="AZ43" t="n">
        <v>0</v>
      </c>
      <c r="BA43" t="n">
        <v>413450.037334978</v>
      </c>
      <c r="BB43" t="n">
        <v>2118931.44134176</v>
      </c>
      <c r="BC43" t="n">
        <v>0</v>
      </c>
      <c r="BD43" t="n">
        <v>0</v>
      </c>
      <c r="BE43" t="n">
        <v>6229727.66942003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161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112358911.219081</v>
      </c>
      <c r="AL44" t="n">
        <v>0</v>
      </c>
      <c r="AM44" t="n">
        <v>12323.3215547703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2053.88692579505</v>
      </c>
      <c r="BB44" t="n">
        <v>129394.876325088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162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166858.567426559</v>
      </c>
      <c r="H45" t="n">
        <v>108748.618571539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50471811.1490915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28224.83230101</v>
      </c>
      <c r="BB45" t="n">
        <v>355300.830142126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163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175034.198301542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21068.9312770375</v>
      </c>
      <c r="AE46" t="n">
        <v>0</v>
      </c>
      <c r="AF46" t="n">
        <v>0</v>
      </c>
      <c r="AG46" t="n">
        <v>51861.9846819384</v>
      </c>
      <c r="AH46" t="n">
        <v>0</v>
      </c>
      <c r="AI46" t="n">
        <v>601274.884906224</v>
      </c>
      <c r="AJ46" t="n">
        <v>965929.464701103</v>
      </c>
      <c r="AK46" t="n">
        <v>854102.060230674</v>
      </c>
      <c r="AL46" t="n">
        <v>0</v>
      </c>
      <c r="AM46" t="n">
        <v>411208814.482026</v>
      </c>
      <c r="AN46" t="n">
        <v>2124720.68493817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4862.06106393173</v>
      </c>
      <c r="AZ46" t="n">
        <v>0</v>
      </c>
      <c r="BA46" t="n">
        <v>551033.587245596</v>
      </c>
      <c r="BB46" t="n">
        <v>10456672.6614958</v>
      </c>
      <c r="BC46" t="n">
        <v>0</v>
      </c>
      <c r="BD46" t="n">
        <v>8103.43510655288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66448.1678737336</v>
      </c>
      <c r="BO46" t="n">
        <v>1601238.77705485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164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49950.933624097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256464.495025215</v>
      </c>
      <c r="AK47" t="n">
        <v>0</v>
      </c>
      <c r="AL47" t="n">
        <v>0</v>
      </c>
      <c r="AM47" t="n">
        <v>1262192.99441189</v>
      </c>
      <c r="AN47" t="n">
        <v>98055919.3130707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146870.6555813</v>
      </c>
      <c r="BB47" t="n">
        <v>825308.709281723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165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1146.26229983806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82331.5356231511</v>
      </c>
      <c r="Y48" t="n">
        <v>0</v>
      </c>
      <c r="Z48" t="n">
        <v>0</v>
      </c>
      <c r="AA48" t="n">
        <v>0</v>
      </c>
      <c r="AB48" t="n">
        <v>79590.4736017992</v>
      </c>
      <c r="AC48" t="n">
        <v>0</v>
      </c>
      <c r="AD48" t="n">
        <v>0</v>
      </c>
      <c r="AE48" t="n">
        <v>0</v>
      </c>
      <c r="AF48" t="n">
        <v>123397.628452132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196185255.710816</v>
      </c>
      <c r="AP48" t="n">
        <v>0</v>
      </c>
      <c r="AQ48" t="n">
        <v>0</v>
      </c>
      <c r="AR48" t="n">
        <v>1943113.9481907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697276.340740622</v>
      </c>
      <c r="BB48" t="n">
        <v>2285896.21333358</v>
      </c>
      <c r="BC48" t="n">
        <v>0</v>
      </c>
      <c r="BD48" t="n">
        <v>8721.56097702872</v>
      </c>
      <c r="BE48" t="n">
        <v>33.1615491999006</v>
      </c>
      <c r="BF48" t="n">
        <v>17492.9594453547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49.837491297307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166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29976.5284023135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5716.14595711779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1897.24863305782</v>
      </c>
      <c r="AC49" t="n">
        <v>0</v>
      </c>
      <c r="AD49" t="n">
        <v>0</v>
      </c>
      <c r="AE49" t="n">
        <v>0</v>
      </c>
      <c r="AF49" t="n">
        <v>138499.150213221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62088599.8659969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55020.2103586767</v>
      </c>
      <c r="AY49" t="n">
        <v>24284.7825031401</v>
      </c>
      <c r="AZ49" t="n">
        <v>0</v>
      </c>
      <c r="BA49" t="n">
        <v>176823.572600989</v>
      </c>
      <c r="BB49" t="n">
        <v>769903.495294863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21249.1846902476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167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2750268.05883139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333944.083466083</v>
      </c>
      <c r="AC50" t="n">
        <v>0</v>
      </c>
      <c r="AD50" t="n">
        <v>0</v>
      </c>
      <c r="AE50" t="n">
        <v>0</v>
      </c>
      <c r="AF50" t="n">
        <v>23247278.8390032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2957790.45355674</v>
      </c>
      <c r="AQ50" t="n">
        <v>1804505020.04709</v>
      </c>
      <c r="AR50" t="n">
        <v>16697.2041733042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26419747.631931</v>
      </c>
      <c r="AZ50" t="n">
        <v>0</v>
      </c>
      <c r="BA50" t="n">
        <v>6822000.5622357</v>
      </c>
      <c r="BB50" t="n">
        <v>263591606.339307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1798527.42095305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168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191114.4315931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319246.580483413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838280.835907729</v>
      </c>
      <c r="AC51" t="n">
        <v>0</v>
      </c>
      <c r="AD51" t="n">
        <v>0</v>
      </c>
      <c r="AE51" t="n">
        <v>0</v>
      </c>
      <c r="AF51" t="n">
        <v>39825.6248809002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15965408.5958422</v>
      </c>
      <c r="AP51" t="n">
        <v>0</v>
      </c>
      <c r="AQ51" t="n">
        <v>589856.358754308</v>
      </c>
      <c r="AR51" t="n">
        <v>63482531.7385071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5585.30105037015</v>
      </c>
      <c r="AZ51" t="n">
        <v>0</v>
      </c>
      <c r="BA51" t="n">
        <v>4038901.17694593</v>
      </c>
      <c r="BB51" t="n">
        <v>43989345.3943631</v>
      </c>
      <c r="BC51" t="n">
        <v>0</v>
      </c>
      <c r="BD51" t="n">
        <v>14813.189742286</v>
      </c>
      <c r="BE51" t="n">
        <v>0</v>
      </c>
      <c r="BF51" t="n">
        <v>27197.9877235416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22826.8825536867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169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49746.9898890539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12613983560.4907</v>
      </c>
      <c r="AT52" t="n">
        <v>360702986.938057</v>
      </c>
      <c r="AU52" t="n">
        <v>0</v>
      </c>
      <c r="AV52" t="n">
        <v>0</v>
      </c>
      <c r="AW52" t="n">
        <v>0</v>
      </c>
      <c r="AX52" t="n">
        <v>0</v>
      </c>
      <c r="AY52" t="n">
        <v>890570612.993843</v>
      </c>
      <c r="AZ52" t="n">
        <v>0</v>
      </c>
      <c r="BA52" t="n">
        <v>31353040.3775762</v>
      </c>
      <c r="BB52" t="n">
        <v>31278419.8927426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170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797.763681324589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20181825.6101494</v>
      </c>
      <c r="AT53" t="n">
        <v>460138922.696484</v>
      </c>
      <c r="AU53" t="n">
        <v>3021928.82485754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835258.574346844</v>
      </c>
      <c r="BB53" t="n">
        <v>856000.430061284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171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10915.4779005919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3230981.45857519</v>
      </c>
      <c r="AU54" t="n">
        <v>2458108862.7282</v>
      </c>
      <c r="AV54" t="n">
        <v>0</v>
      </c>
      <c r="AW54" t="n">
        <v>0</v>
      </c>
      <c r="AX54" t="n">
        <v>0</v>
      </c>
      <c r="AY54" t="n">
        <v>0</v>
      </c>
      <c r="AZ54" t="n">
        <v>185563.124310062</v>
      </c>
      <c r="BA54" t="n">
        <v>5224147.72322327</v>
      </c>
      <c r="BB54" t="n">
        <v>5896541.16189972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172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134360797.720798</v>
      </c>
      <c r="AW55" t="n">
        <v>0</v>
      </c>
      <c r="AX55" t="n">
        <v>0</v>
      </c>
      <c r="AY55" t="n">
        <v>0</v>
      </c>
      <c r="AZ55" t="n">
        <v>0</v>
      </c>
      <c r="BA55" t="n">
        <v>4558.40455840456</v>
      </c>
      <c r="BB55" t="n">
        <v>4558.40455840456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173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43536139.6315843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5007165971.11075</v>
      </c>
      <c r="AX56" t="n">
        <v>0</v>
      </c>
      <c r="AY56" t="n">
        <v>0</v>
      </c>
      <c r="AZ56" t="n">
        <v>0</v>
      </c>
      <c r="BA56" t="n">
        <v>227639.945786062</v>
      </c>
      <c r="BB56" t="n">
        <v>282273.532774716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174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338235.97842417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1634102.57076177</v>
      </c>
      <c r="AT57" t="n">
        <v>0</v>
      </c>
      <c r="AU57" t="n">
        <v>413282.086137032</v>
      </c>
      <c r="AV57" t="n">
        <v>0</v>
      </c>
      <c r="AW57" t="n">
        <v>0</v>
      </c>
      <c r="AX57" t="n">
        <v>1514007658.67254</v>
      </c>
      <c r="AY57" t="n">
        <v>0</v>
      </c>
      <c r="AZ57" t="n">
        <v>0</v>
      </c>
      <c r="BA57" t="n">
        <v>321324.179502961</v>
      </c>
      <c r="BB57" t="n">
        <v>613052.710893808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71875.1454151361</v>
      </c>
      <c r="BN57" t="n">
        <v>0</v>
      </c>
      <c r="BO57" t="n">
        <v>236765.184896919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s">
        <v>175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57257.9612704994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393557.885694699</v>
      </c>
      <c r="AD58" t="n">
        <v>0</v>
      </c>
      <c r="AE58" t="n">
        <v>2233060.48954948</v>
      </c>
      <c r="AF58" t="n">
        <v>202214.825246447</v>
      </c>
      <c r="AG58" t="n">
        <v>0</v>
      </c>
      <c r="AH58" t="n">
        <v>0</v>
      </c>
      <c r="AI58" t="n">
        <v>0</v>
      </c>
      <c r="AJ58" t="n">
        <v>929173.498085826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55808.3926307399</v>
      </c>
      <c r="AT58" t="n">
        <v>60881.8828698981</v>
      </c>
      <c r="AU58" t="n">
        <v>495027.690477862</v>
      </c>
      <c r="AV58" t="n">
        <v>0</v>
      </c>
      <c r="AW58" t="n">
        <v>0</v>
      </c>
      <c r="AX58" t="n">
        <v>840025.026740618</v>
      </c>
      <c r="AY58" t="n">
        <v>285705630.190674</v>
      </c>
      <c r="AZ58" t="n">
        <v>0</v>
      </c>
      <c r="BA58" t="n">
        <v>122488.550059676</v>
      </c>
      <c r="BB58" t="n">
        <v>153654.275814505</v>
      </c>
      <c r="BC58" t="n">
        <v>0</v>
      </c>
      <c r="BD58" t="n">
        <v>0</v>
      </c>
      <c r="BE58" t="n">
        <v>0</v>
      </c>
      <c r="BF58" t="n">
        <v>2174.35295963922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892209.497771959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176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1906.65917605578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353059892.948601</v>
      </c>
      <c r="BA59" t="n">
        <v>344151.981278068</v>
      </c>
      <c r="BB59" t="n">
        <v>258352.318355558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177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8169.49766027672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127081.074715416</v>
      </c>
      <c r="AC60" t="n">
        <v>0</v>
      </c>
      <c r="AD60" t="n">
        <v>0</v>
      </c>
      <c r="AE60" t="n">
        <v>0</v>
      </c>
      <c r="AF60" t="n">
        <v>1355228.88964368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36131205.625575</v>
      </c>
      <c r="AP60" t="n">
        <v>0</v>
      </c>
      <c r="AQ60" t="n">
        <v>149774.12377174</v>
      </c>
      <c r="AR60" t="n">
        <v>18446725.7169048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118911.577055139</v>
      </c>
      <c r="AZ60" t="n">
        <v>0</v>
      </c>
      <c r="BA60" t="n">
        <v>428975783.531319</v>
      </c>
      <c r="BB60" t="n">
        <v>12339572.3548669</v>
      </c>
      <c r="BC60" t="n">
        <v>0</v>
      </c>
      <c r="BD60" t="n">
        <v>5115013.25729548</v>
      </c>
      <c r="BE60" t="n">
        <v>0</v>
      </c>
      <c r="BF60" t="n">
        <v>345842.067618381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3794277.80221741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178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720000.812731438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8944.10947492469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723354.853784535</v>
      </c>
      <c r="AF61" t="n">
        <v>2297518.12137128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68416847.4147521</v>
      </c>
      <c r="AS61" t="n">
        <v>0</v>
      </c>
      <c r="AT61" t="n">
        <v>551180.746392234</v>
      </c>
      <c r="AU61" t="n">
        <v>0</v>
      </c>
      <c r="AV61" t="n">
        <v>0</v>
      </c>
      <c r="AW61" t="n">
        <v>0</v>
      </c>
      <c r="AX61" t="n">
        <v>0</v>
      </c>
      <c r="AY61" t="n">
        <v>43602.5336902579</v>
      </c>
      <c r="AZ61" t="n">
        <v>0</v>
      </c>
      <c r="BA61" t="n">
        <v>14435792.6925285</v>
      </c>
      <c r="BB61" t="n">
        <v>1667633683.65445</v>
      </c>
      <c r="BC61" t="n">
        <v>0</v>
      </c>
      <c r="BD61" t="n">
        <v>1625591.89706756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2209195.0403064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179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156995.1329201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22780723.9966271</v>
      </c>
      <c r="BB62" t="n">
        <v>11548269.8936343</v>
      </c>
      <c r="BC62" t="n">
        <v>1118729061.94062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180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1764103.48171697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2056655.87405864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1609665.95271256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178293.732671751</v>
      </c>
      <c r="AV63" t="n">
        <v>0</v>
      </c>
      <c r="AW63" t="n">
        <v>0</v>
      </c>
      <c r="AX63" t="n">
        <v>336498.030676262</v>
      </c>
      <c r="AY63" t="n">
        <v>300085.93034189</v>
      </c>
      <c r="AZ63" t="n">
        <v>0</v>
      </c>
      <c r="BA63" t="n">
        <v>15554244.7911102</v>
      </c>
      <c r="BB63" t="n">
        <v>57763402.6166471</v>
      </c>
      <c r="BC63" t="n">
        <v>0</v>
      </c>
      <c r="BD63" t="n">
        <v>1282348793.67923</v>
      </c>
      <c r="BE63" t="n">
        <v>210494.818380275</v>
      </c>
      <c r="BF63" t="n">
        <v>32645.3313342642</v>
      </c>
      <c r="BG63" t="n">
        <v>0</v>
      </c>
      <c r="BH63" t="n">
        <v>0</v>
      </c>
      <c r="BI63" t="n">
        <v>0</v>
      </c>
      <c r="BJ63" t="n">
        <v>47712.4073346938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181</v>
      </c>
      <c r="B64" t="n">
        <v>0</v>
      </c>
      <c r="C64" t="n">
        <v>0</v>
      </c>
      <c r="D64" t="n">
        <v>658835.938966535</v>
      </c>
      <c r="E64" t="n">
        <v>0</v>
      </c>
      <c r="F64" t="n">
        <v>0</v>
      </c>
      <c r="G64" t="n">
        <v>0</v>
      </c>
      <c r="H64" t="n">
        <v>4873.16767654757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275333.973724938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1193926.08075416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382543.662608984</v>
      </c>
      <c r="AZ64" t="n">
        <v>0</v>
      </c>
      <c r="BA64" t="n">
        <v>53604.8444420233</v>
      </c>
      <c r="BB64" t="n">
        <v>380107.078770711</v>
      </c>
      <c r="BC64" t="n">
        <v>0</v>
      </c>
      <c r="BD64" t="n">
        <v>0</v>
      </c>
      <c r="BE64" t="n">
        <v>179755503.076963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2319627.81403664</v>
      </c>
      <c r="BV64" t="n">
        <v>0</v>
      </c>
    </row>
    <row r="65">
      <c r="A65" t="s">
        <v>182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994400.230872543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1108208.55486368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166444.673837035</v>
      </c>
      <c r="AV65" t="n">
        <v>0</v>
      </c>
      <c r="AW65" t="n">
        <v>0</v>
      </c>
      <c r="AX65" t="n">
        <v>93891.8672926864</v>
      </c>
      <c r="AY65" t="n">
        <v>0</v>
      </c>
      <c r="AZ65" t="n">
        <v>0</v>
      </c>
      <c r="BA65" t="n">
        <v>7078877.7522486</v>
      </c>
      <c r="BB65" t="n">
        <v>47123759.1525794</v>
      </c>
      <c r="BC65" t="n">
        <v>0</v>
      </c>
      <c r="BD65" t="n">
        <v>0</v>
      </c>
      <c r="BE65" t="n">
        <v>0</v>
      </c>
      <c r="BF65" t="n">
        <v>426971843.909442</v>
      </c>
      <c r="BG65" t="n">
        <v>0</v>
      </c>
      <c r="BH65" t="n">
        <v>0</v>
      </c>
      <c r="BI65" t="n">
        <v>0</v>
      </c>
      <c r="BJ65" t="n">
        <v>0</v>
      </c>
      <c r="BK65" t="n">
        <v>2453991.98605885</v>
      </c>
      <c r="BL65" t="n">
        <v>0</v>
      </c>
      <c r="BM65" t="n">
        <v>40507227.7165448</v>
      </c>
      <c r="BN65" t="n">
        <v>18519459.5214575</v>
      </c>
      <c r="BO65" t="n">
        <v>66862.3903447919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183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1376672.635998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26865725.2737575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1318967.79496815</v>
      </c>
      <c r="AZ66" t="n">
        <v>0</v>
      </c>
      <c r="BA66" t="n">
        <v>2338419.98649561</v>
      </c>
      <c r="BB66" t="n">
        <v>1129366.17444148</v>
      </c>
      <c r="BC66" t="n">
        <v>0</v>
      </c>
      <c r="BD66" t="n">
        <v>0</v>
      </c>
      <c r="BE66" t="n">
        <v>0</v>
      </c>
      <c r="BF66" t="n">
        <v>0</v>
      </c>
      <c r="BG66" t="n">
        <v>3160634283.53345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148383.876933917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s">
        <v>184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6131579.96997935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8698847.93855672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761028.77867772</v>
      </c>
      <c r="AZ67" t="n">
        <v>0</v>
      </c>
      <c r="BA67" t="n">
        <v>13448052.8485329</v>
      </c>
      <c r="BB67" t="n">
        <v>38446403.2367441</v>
      </c>
      <c r="BC67" t="n">
        <v>0</v>
      </c>
      <c r="BD67" t="n">
        <v>0</v>
      </c>
      <c r="BE67" t="n">
        <v>0</v>
      </c>
      <c r="BF67" t="n">
        <v>0</v>
      </c>
      <c r="BG67" t="n">
        <v>18597038.6992068</v>
      </c>
      <c r="BH67" t="n">
        <v>4390114925.74842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9011929.39813933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185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149489.306970645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90388.8832845758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577098.254816907</v>
      </c>
      <c r="AY68" t="n">
        <v>0</v>
      </c>
      <c r="AZ68" t="n">
        <v>0</v>
      </c>
      <c r="BA68" t="n">
        <v>111247.856350247</v>
      </c>
      <c r="BB68" t="n">
        <v>73006.4057298497</v>
      </c>
      <c r="BC68" t="n">
        <v>0</v>
      </c>
      <c r="BD68" t="n">
        <v>0</v>
      </c>
      <c r="BE68" t="n">
        <v>0</v>
      </c>
      <c r="BF68" t="n">
        <v>0</v>
      </c>
      <c r="BG68" t="n">
        <v>514521.335619893</v>
      </c>
      <c r="BH68" t="n">
        <v>0</v>
      </c>
      <c r="BI68" t="n">
        <v>902247926.964592</v>
      </c>
      <c r="BJ68" t="n">
        <v>2256245.58660345</v>
      </c>
      <c r="BK68" t="n">
        <v>0</v>
      </c>
      <c r="BL68" t="n">
        <v>0</v>
      </c>
      <c r="BM68" t="n">
        <v>0</v>
      </c>
      <c r="BN68" t="n">
        <v>2224957.12700494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186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321793.143821816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426324.674617437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254155.094483472</v>
      </c>
      <c r="BB69" t="n">
        <v>45092.0328922289</v>
      </c>
      <c r="BC69" t="n">
        <v>0</v>
      </c>
      <c r="BD69" t="n">
        <v>0</v>
      </c>
      <c r="BE69" t="n">
        <v>0</v>
      </c>
      <c r="BF69" t="n">
        <v>0</v>
      </c>
      <c r="BG69" t="n">
        <v>469367.069650928</v>
      </c>
      <c r="BH69" t="n">
        <v>0</v>
      </c>
      <c r="BI69" t="n">
        <v>3894311.93160159</v>
      </c>
      <c r="BJ69" t="n">
        <v>502593748.978925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s">
        <v>187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522607.092784092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1183726.30934673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917749.040986698</v>
      </c>
      <c r="AY70" t="n">
        <v>1375773.7938495</v>
      </c>
      <c r="AZ70" t="n">
        <v>0</v>
      </c>
      <c r="BA70" t="n">
        <v>120667.00353714</v>
      </c>
      <c r="BB70" t="n">
        <v>7370884.42733206</v>
      </c>
      <c r="BC70" t="n">
        <v>0</v>
      </c>
      <c r="BD70" t="n">
        <v>0</v>
      </c>
      <c r="BE70" t="n">
        <v>0</v>
      </c>
      <c r="BF70" t="n">
        <v>265977.268360034</v>
      </c>
      <c r="BG70" t="n">
        <v>0</v>
      </c>
      <c r="BH70" t="n">
        <v>0</v>
      </c>
      <c r="BI70" t="n">
        <v>0</v>
      </c>
      <c r="BJ70" t="n">
        <v>0</v>
      </c>
      <c r="BK70" t="n">
        <v>172934510.956594</v>
      </c>
      <c r="BL70" t="n">
        <v>1833798.54671231</v>
      </c>
      <c r="BM70" t="n">
        <v>6798.14104434591</v>
      </c>
      <c r="BN70" t="n">
        <v>3826503.64033621</v>
      </c>
      <c r="BO70" t="n">
        <v>314414.023300998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188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1225470.20402248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193495.295371971</v>
      </c>
      <c r="AD71" t="n">
        <v>0</v>
      </c>
      <c r="AE71" t="n">
        <v>0</v>
      </c>
      <c r="AF71" t="n">
        <v>5895156.66566605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137596.654486735</v>
      </c>
      <c r="AY71" t="n">
        <v>528887.140683387</v>
      </c>
      <c r="AZ71" t="n">
        <v>0</v>
      </c>
      <c r="BA71" t="n">
        <v>137596.654486735</v>
      </c>
      <c r="BB71" t="n">
        <v>178445.661287484</v>
      </c>
      <c r="BC71" t="n">
        <v>0</v>
      </c>
      <c r="BD71" t="n">
        <v>0</v>
      </c>
      <c r="BE71" t="n">
        <v>0</v>
      </c>
      <c r="BF71" t="n">
        <v>6490692.18586645</v>
      </c>
      <c r="BG71" t="n">
        <v>0</v>
      </c>
      <c r="BH71" t="n">
        <v>0</v>
      </c>
      <c r="BI71" t="n">
        <v>0</v>
      </c>
      <c r="BJ71" t="n">
        <v>1348017.22442473</v>
      </c>
      <c r="BK71" t="n">
        <v>30099.2681689733</v>
      </c>
      <c r="BL71" t="n">
        <v>323156492.800729</v>
      </c>
      <c r="BM71" t="n">
        <v>438589.336176468</v>
      </c>
      <c r="BN71" t="n">
        <v>22935642.3447576</v>
      </c>
      <c r="BO71" t="n">
        <v>7789260.61258501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s">
        <v>189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6379172.8462853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35127.6037791041</v>
      </c>
      <c r="AD72" t="n">
        <v>994111.186948646</v>
      </c>
      <c r="AE72" t="n">
        <v>1464821.07758864</v>
      </c>
      <c r="AF72" t="n">
        <v>2550264.03436296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555016.139709844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3948342.6647713</v>
      </c>
      <c r="AY72" t="n">
        <v>3716500.47982921</v>
      </c>
      <c r="AZ72" t="n">
        <v>0</v>
      </c>
      <c r="BA72" t="n">
        <v>189689.060407162</v>
      </c>
      <c r="BB72" t="n">
        <v>14051.0415116416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3716500.47982921</v>
      </c>
      <c r="BL72" t="n">
        <v>116616619.02587</v>
      </c>
      <c r="BM72" t="n">
        <v>760888487.17804</v>
      </c>
      <c r="BN72" t="n">
        <v>168317426.267955</v>
      </c>
      <c r="BO72" t="n">
        <v>7194133.25396052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s">
        <v>190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1743838.81905088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70416.2943559739</v>
      </c>
      <c r="AC73" t="n">
        <v>0</v>
      </c>
      <c r="AD73" t="n">
        <v>1232285.15122954</v>
      </c>
      <c r="AE73" t="n">
        <v>0</v>
      </c>
      <c r="AF73" t="n">
        <v>3313707.96969289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6213.20244317417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2766946.15469356</v>
      </c>
      <c r="BM73" t="n">
        <v>37279.214659045</v>
      </c>
      <c r="BN73" t="n">
        <v>1873450364.15046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16568.5398484644</v>
      </c>
      <c r="BV73" t="n">
        <v>0</v>
      </c>
    </row>
    <row r="74">
      <c r="A74" t="s">
        <v>191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1220553.33735121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1247676.74484791</v>
      </c>
      <c r="AC74" t="n">
        <v>4702212.55419952</v>
      </c>
      <c r="AD74" t="n">
        <v>0</v>
      </c>
      <c r="AE74" t="n">
        <v>360001.590410661</v>
      </c>
      <c r="AF74" t="n">
        <v>11414023.0274723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1864117.82431822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3530974.50320593</v>
      </c>
      <c r="AY74" t="n">
        <v>978908.434198852</v>
      </c>
      <c r="AZ74" t="n">
        <v>0</v>
      </c>
      <c r="BA74" t="n">
        <v>2776450.62193427</v>
      </c>
      <c r="BB74" t="n">
        <v>2781382.15057004</v>
      </c>
      <c r="BC74" t="n">
        <v>0</v>
      </c>
      <c r="BD74" t="n">
        <v>0</v>
      </c>
      <c r="BE74" t="n">
        <v>0</v>
      </c>
      <c r="BF74" t="n">
        <v>24657.6431788124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8215926.70718029</v>
      </c>
      <c r="BO74" t="n">
        <v>1876185274.88993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s">
        <v>192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5170.89371392854</v>
      </c>
      <c r="I75" t="n">
        <v>0</v>
      </c>
      <c r="J75" t="n">
        <v>0</v>
      </c>
      <c r="K75" t="n">
        <v>0</v>
      </c>
      <c r="L75" t="n">
        <v>0</v>
      </c>
      <c r="M75" t="n">
        <v>1440.42997198769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521.985975070713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75839.774470952</v>
      </c>
      <c r="AQ75" t="n">
        <v>0</v>
      </c>
      <c r="AR75" t="n">
        <v>25854.4685696427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3188717.79025594</v>
      </c>
      <c r="BB75" t="n">
        <v>40248513.0379818</v>
      </c>
      <c r="BC75" t="n">
        <v>0</v>
      </c>
      <c r="BD75" t="n">
        <v>0</v>
      </c>
      <c r="BE75" t="n">
        <v>0</v>
      </c>
      <c r="BF75" t="n">
        <v>420566.022066188</v>
      </c>
      <c r="BG75" t="n">
        <v>0</v>
      </c>
      <c r="BH75" t="n">
        <v>2678522.94381498</v>
      </c>
      <c r="BI75" t="n">
        <v>0</v>
      </c>
      <c r="BJ75" t="n">
        <v>0</v>
      </c>
      <c r="BK75" t="n">
        <v>37919.887235476</v>
      </c>
      <c r="BL75" t="n">
        <v>0</v>
      </c>
      <c r="BM75" t="n">
        <v>0</v>
      </c>
      <c r="BN75" t="n">
        <v>0</v>
      </c>
      <c r="BO75" t="n">
        <v>0</v>
      </c>
      <c r="BP75" t="n">
        <v>1163892335.23084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s">
        <v>193</v>
      </c>
      <c r="B76" t="n">
        <v>0</v>
      </c>
      <c r="C76" t="n">
        <v>107499.253151364</v>
      </c>
      <c r="D76" t="n">
        <v>0</v>
      </c>
      <c r="E76" t="n">
        <v>0</v>
      </c>
      <c r="F76" t="n">
        <v>0</v>
      </c>
      <c r="G76" t="n">
        <v>87662.5700045767</v>
      </c>
      <c r="H76" t="n">
        <v>820431.744914628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13220.9847893844</v>
      </c>
      <c r="T76" t="n">
        <v>0</v>
      </c>
      <c r="U76" t="n">
        <v>0</v>
      </c>
      <c r="V76" t="n">
        <v>0</v>
      </c>
      <c r="W76" t="n">
        <v>0</v>
      </c>
      <c r="X76" t="n">
        <v>13486.5492314733</v>
      </c>
      <c r="Y76" t="n">
        <v>0</v>
      </c>
      <c r="Z76" t="n">
        <v>35785.3035327003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763624.901142256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134865.492314733</v>
      </c>
      <c r="AW76" t="n">
        <v>0</v>
      </c>
      <c r="AX76" t="n">
        <v>0</v>
      </c>
      <c r="AY76" t="n">
        <v>0</v>
      </c>
      <c r="AZ76" t="n">
        <v>0</v>
      </c>
      <c r="BA76" t="n">
        <v>4574187.94767471</v>
      </c>
      <c r="BB76" t="n">
        <v>46085786.4821496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2250005.9634508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926044911.946296</v>
      </c>
      <c r="BR76" t="n">
        <v>752998.998757261</v>
      </c>
      <c r="BS76" t="n">
        <v>0</v>
      </c>
      <c r="BT76" t="n">
        <v>0</v>
      </c>
      <c r="BU76" t="n">
        <v>0</v>
      </c>
      <c r="BV76" t="n">
        <v>9788986.9838444</v>
      </c>
    </row>
    <row r="77">
      <c r="A77" t="s">
        <v>194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38191132.9924428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6129695.3826723</v>
      </c>
      <c r="AF77" t="n">
        <v>131821.406078974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37074.7704597115</v>
      </c>
      <c r="AQ77" t="n">
        <v>0</v>
      </c>
      <c r="AR77" t="n">
        <v>0</v>
      </c>
      <c r="AS77" t="n">
        <v>0</v>
      </c>
      <c r="AT77" t="n">
        <v>0</v>
      </c>
      <c r="AU77" t="n">
        <v>5596230.62994645</v>
      </c>
      <c r="AV77" t="n">
        <v>0</v>
      </c>
      <c r="AW77" t="n">
        <v>0</v>
      </c>
      <c r="AX77" t="n">
        <v>1732215.66425652</v>
      </c>
      <c r="AY77" t="n">
        <v>0</v>
      </c>
      <c r="AZ77" t="n">
        <v>0</v>
      </c>
      <c r="BA77" t="n">
        <v>1204930.03994062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3143116.65119554</v>
      </c>
      <c r="BO77" t="n">
        <v>0</v>
      </c>
      <c r="BP77" t="n">
        <v>0</v>
      </c>
      <c r="BQ77" t="n">
        <v>0</v>
      </c>
      <c r="BR77" t="n">
        <v>147545228.172832</v>
      </c>
      <c r="BS77" t="n">
        <v>0</v>
      </c>
      <c r="BT77" t="n">
        <v>0</v>
      </c>
      <c r="BU77" t="n">
        <v>0</v>
      </c>
      <c r="BV77" t="n">
        <v>0</v>
      </c>
    </row>
    <row r="78">
      <c r="A78" t="s">
        <v>195</v>
      </c>
      <c r="B78" t="n">
        <v>1644870.30152835</v>
      </c>
      <c r="C78" t="n">
        <v>6905758.97577592</v>
      </c>
      <c r="D78" t="n">
        <v>0</v>
      </c>
      <c r="E78" t="n">
        <v>1694136.46920741</v>
      </c>
      <c r="F78" t="n">
        <v>0</v>
      </c>
      <c r="G78" t="n">
        <v>3443213.0881949</v>
      </c>
      <c r="H78" t="n">
        <v>59164770.37723</v>
      </c>
      <c r="I78" t="n">
        <v>239328.315770538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487572.796270722</v>
      </c>
      <c r="T78" t="n">
        <v>11160123.0232281</v>
      </c>
      <c r="U78" t="n">
        <v>0</v>
      </c>
      <c r="V78" t="n">
        <v>3330765.82534607</v>
      </c>
      <c r="W78" t="n">
        <v>1245734.27879269</v>
      </c>
      <c r="X78" t="n">
        <v>4940146.65472287</v>
      </c>
      <c r="Y78" t="n">
        <v>0</v>
      </c>
      <c r="Z78" t="n">
        <v>935010.114923034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3581637.75255012</v>
      </c>
      <c r="AP78" t="n">
        <v>2658.8518055559</v>
      </c>
      <c r="AQ78" t="n">
        <v>0</v>
      </c>
      <c r="AR78" t="n">
        <v>6772095.54875089</v>
      </c>
      <c r="AS78" t="n">
        <v>0</v>
      </c>
      <c r="AT78" t="n">
        <v>0</v>
      </c>
      <c r="AU78" t="n">
        <v>0</v>
      </c>
      <c r="AV78" t="n">
        <v>88513176.606956</v>
      </c>
      <c r="AW78" t="n">
        <v>0</v>
      </c>
      <c r="AX78" t="n">
        <v>0</v>
      </c>
      <c r="AY78" t="n">
        <v>0</v>
      </c>
      <c r="AZ78" t="n">
        <v>0</v>
      </c>
      <c r="BA78" t="n">
        <v>13129410.2158351</v>
      </c>
      <c r="BB78" t="n">
        <v>157704477.142937</v>
      </c>
      <c r="BC78" t="n">
        <v>0</v>
      </c>
      <c r="BD78" t="n">
        <v>25828086.43917</v>
      </c>
      <c r="BE78" t="n">
        <v>16141989.6340485</v>
      </c>
      <c r="BF78" t="n">
        <v>269682020.933924</v>
      </c>
      <c r="BG78" t="n">
        <v>97739392.372235</v>
      </c>
      <c r="BH78" t="n">
        <v>612966377.549247</v>
      </c>
      <c r="BI78" t="n">
        <v>0</v>
      </c>
      <c r="BJ78" t="n">
        <v>10630089.5186125</v>
      </c>
      <c r="BK78" t="n">
        <v>9077320.06416785</v>
      </c>
      <c r="BL78" t="n">
        <v>7535186.01694543</v>
      </c>
      <c r="BM78" t="n">
        <v>30066296.2172262</v>
      </c>
      <c r="BN78" t="n">
        <v>53964056.2455626</v>
      </c>
      <c r="BO78" t="n">
        <v>3275705.42444487</v>
      </c>
      <c r="BP78" t="n">
        <v>0</v>
      </c>
      <c r="BQ78" t="n">
        <v>0</v>
      </c>
      <c r="BR78" t="n">
        <v>0</v>
      </c>
      <c r="BS78" t="n">
        <v>5117795179.25928</v>
      </c>
      <c r="BT78" t="n">
        <v>0</v>
      </c>
      <c r="BU78" t="n">
        <v>11829231.6829182</v>
      </c>
      <c r="BV78" t="n">
        <v>0</v>
      </c>
    </row>
    <row r="79">
      <c r="A79" t="s">
        <v>196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232749977.607258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9099496.37023505</v>
      </c>
      <c r="AE79" t="n">
        <v>0</v>
      </c>
      <c r="AF79" t="n">
        <v>0</v>
      </c>
      <c r="AG79" t="n">
        <v>0</v>
      </c>
      <c r="AH79" t="n">
        <v>208168.721121495</v>
      </c>
      <c r="AI79" t="n">
        <v>725436.452393089</v>
      </c>
      <c r="AJ79" t="n">
        <v>0</v>
      </c>
      <c r="AK79" t="n">
        <v>27405727.542798</v>
      </c>
      <c r="AL79" t="n">
        <v>0</v>
      </c>
      <c r="AM79" t="n">
        <v>25043327.9652223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33117.7510875106</v>
      </c>
      <c r="AT79" t="n">
        <v>0</v>
      </c>
      <c r="AU79" t="n">
        <v>687587.594007362</v>
      </c>
      <c r="AV79" t="n">
        <v>0</v>
      </c>
      <c r="AW79" t="n">
        <v>13453692.1203597</v>
      </c>
      <c r="AX79" t="n">
        <v>45625221.7482271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156126.540841121</v>
      </c>
      <c r="BL79" t="n">
        <v>68839188.2248059</v>
      </c>
      <c r="BM79" t="n">
        <v>0</v>
      </c>
      <c r="BN79" t="n">
        <v>0</v>
      </c>
      <c r="BO79" t="n">
        <v>5229450.60029453</v>
      </c>
      <c r="BP79" t="n">
        <v>0</v>
      </c>
      <c r="BQ79" t="n">
        <v>0</v>
      </c>
      <c r="BR79" t="n">
        <v>0</v>
      </c>
      <c r="BS79" t="n">
        <v>0</v>
      </c>
      <c r="BT79" t="n">
        <v>173800380.671489</v>
      </c>
      <c r="BU79" t="n">
        <v>0</v>
      </c>
      <c r="BV7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209</v>
      </c>
    </row>
    <row r="2">
      <c r="A2" t="s">
        <v>210</v>
      </c>
    </row>
    <row r="3">
      <c r="A3" t="s">
        <v>211</v>
      </c>
    </row>
    <row r="4">
      <c r="A4" t="s">
        <v>83</v>
      </c>
    </row>
    <row r="5">
      <c r="A5" t="s">
        <v>1</v>
      </c>
    </row>
    <row r="6">
      <c r="A6" t="s">
        <v>212</v>
      </c>
    </row>
    <row r="7">
      <c r="A7" t="s">
        <v>1</v>
      </c>
    </row>
    <row r="9">
      <c r="A9" t="s">
        <v>213</v>
      </c>
      <c r="B9" t="s">
        <v>214</v>
      </c>
      <c r="C9" t="s">
        <v>215</v>
      </c>
      <c r="D9" t="s">
        <v>216</v>
      </c>
      <c r="E9" t="s">
        <v>217</v>
      </c>
    </row>
    <row r="10">
      <c r="A10" t="s">
        <v>218</v>
      </c>
      <c r="B10" t="n">
        <v>12031000</v>
      </c>
      <c r="C10" t="s">
        <v>219</v>
      </c>
      <c r="D10" t="n">
        <v>600000000</v>
      </c>
      <c r="E10" t="s">
        <v>220</v>
      </c>
    </row>
    <row r="11">
      <c r="A11" t="s">
        <v>221</v>
      </c>
      <c r="B11" t="n">
        <v>1000000</v>
      </c>
      <c r="C11" t="s">
        <v>219</v>
      </c>
      <c r="D11" t="n">
        <v>40000000</v>
      </c>
      <c r="E11" t="s">
        <v>222</v>
      </c>
    </row>
    <row r="12">
      <c r="A12" t="s">
        <v>223</v>
      </c>
      <c r="B12" t="n">
        <v>4220000</v>
      </c>
      <c r="C12" t="s">
        <v>219</v>
      </c>
      <c r="D12" t="n">
        <v>125000000</v>
      </c>
      <c r="E12" t="s">
        <v>224</v>
      </c>
    </row>
    <row r="13">
      <c r="A13" t="s">
        <v>225</v>
      </c>
      <c r="B13" t="n">
        <v>0</v>
      </c>
      <c r="C13" t="s">
        <v>219</v>
      </c>
      <c r="D13" t="n">
        <v>0</v>
      </c>
      <c r="E13"/>
    </row>
    <row r="14">
      <c r="A14" t="s">
        <v>226</v>
      </c>
      <c r="B14" t="n">
        <v>0</v>
      </c>
      <c r="C14" t="s">
        <v>219</v>
      </c>
      <c r="D14" t="n">
        <v>0</v>
      </c>
      <c r="E14"/>
    </row>
    <row r="15">
      <c r="A15" t="s">
        <v>227</v>
      </c>
      <c r="B15" t="n">
        <v>10710000</v>
      </c>
      <c r="C15" t="s">
        <v>219</v>
      </c>
      <c r="D15" t="n">
        <v>330000000</v>
      </c>
      <c r="E15" t="s">
        <v>228</v>
      </c>
    </row>
    <row r="16">
      <c r="A16" t="s">
        <v>229</v>
      </c>
      <c r="B16" t="n">
        <v>0</v>
      </c>
      <c r="C16" t="s">
        <v>219</v>
      </c>
      <c r="D16" t="n">
        <v>0</v>
      </c>
      <c r="E16"/>
    </row>
    <row r="17">
      <c r="A17" t="s">
        <v>230</v>
      </c>
      <c r="B17" t="n">
        <v>0</v>
      </c>
      <c r="C17" t="s">
        <v>219</v>
      </c>
      <c r="D17" t="n">
        <v>0</v>
      </c>
      <c r="E17"/>
    </row>
    <row r="18">
      <c r="A18" t="s">
        <v>231</v>
      </c>
      <c r="B18" t="n">
        <v>0</v>
      </c>
      <c r="C18" t="s">
        <v>219</v>
      </c>
      <c r="D18" t="n">
        <v>0</v>
      </c>
      <c r="E18"/>
    </row>
    <row r="19">
      <c r="A19" t="s">
        <v>232</v>
      </c>
      <c r="B19" t="n">
        <v>0</v>
      </c>
      <c r="C19" t="s">
        <v>219</v>
      </c>
      <c r="D19" t="n">
        <v>0</v>
      </c>
      <c r="E19"/>
    </row>
    <row r="20">
      <c r="A20" t="s">
        <v>233</v>
      </c>
      <c r="B20" t="n">
        <v>0</v>
      </c>
      <c r="C20" t="s">
        <v>219</v>
      </c>
      <c r="D20" t="n">
        <v>0</v>
      </c>
      <c r="E20"/>
    </row>
    <row r="21">
      <c r="A21" t="s">
        <v>234</v>
      </c>
      <c r="B21" t="n">
        <v>0</v>
      </c>
      <c r="C21" t="s">
        <v>219</v>
      </c>
      <c r="D21" t="n">
        <v>0</v>
      </c>
      <c r="E21"/>
    </row>
    <row r="22">
      <c r="A22" t="s">
        <v>235</v>
      </c>
      <c r="B22" t="n">
        <v>0</v>
      </c>
      <c r="C22" t="s">
        <v>219</v>
      </c>
      <c r="D22" t="n">
        <v>0</v>
      </c>
      <c r="E22"/>
    </row>
    <row r="23">
      <c r="A23" t="s">
        <v>236</v>
      </c>
      <c r="B23" t="n">
        <v>45919000</v>
      </c>
      <c r="C23" t="s">
        <v>219</v>
      </c>
      <c r="D23" t="n">
        <v>1950000000</v>
      </c>
      <c r="E23" t="s">
        <v>237</v>
      </c>
    </row>
    <row r="24">
      <c r="A24" t="s">
        <v>238</v>
      </c>
      <c r="B24" t="n">
        <v>28820000</v>
      </c>
      <c r="C24" t="s">
        <v>219</v>
      </c>
      <c r="D24" t="n">
        <v>1210000000</v>
      </c>
      <c r="E24" t="s">
        <v>237</v>
      </c>
    </row>
    <row r="25">
      <c r="A25" t="s">
        <v>239</v>
      </c>
      <c r="B25" t="n">
        <v>0</v>
      </c>
      <c r="C25" t="s">
        <v>219</v>
      </c>
      <c r="D25" t="n">
        <v>0</v>
      </c>
      <c r="E25"/>
    </row>
    <row r="26">
      <c r="A26" t="s">
        <v>240</v>
      </c>
      <c r="B26" t="n">
        <v>0</v>
      </c>
      <c r="C26" t="s">
        <v>219</v>
      </c>
      <c r="D26" t="n">
        <v>0</v>
      </c>
      <c r="E26"/>
    </row>
    <row r="27">
      <c r="A27" t="s">
        <v>241</v>
      </c>
      <c r="B27" t="n">
        <v>36140000</v>
      </c>
      <c r="C27" t="s">
        <v>219</v>
      </c>
      <c r="D27" t="n">
        <v>1730000000</v>
      </c>
      <c r="E27" t="s">
        <v>242</v>
      </c>
    </row>
    <row r="28">
      <c r="A28" t="s">
        <v>243</v>
      </c>
      <c r="B28" t="n">
        <v>2720000</v>
      </c>
      <c r="C28" t="s">
        <v>219</v>
      </c>
      <c r="D28" t="n">
        <v>60000000</v>
      </c>
      <c r="E28" t="s">
        <v>244</v>
      </c>
    </row>
    <row r="29">
      <c r="A29" t="s">
        <v>245</v>
      </c>
      <c r="B29" t="n">
        <v>0</v>
      </c>
      <c r="C29" t="s">
        <v>219</v>
      </c>
      <c r="D29" t="n">
        <v>0</v>
      </c>
      <c r="E29"/>
    </row>
    <row r="30">
      <c r="A30" t="s">
        <v>246</v>
      </c>
      <c r="B30" t="n">
        <v>1320000</v>
      </c>
      <c r="C30" t="s">
        <v>219</v>
      </c>
      <c r="D30" t="n">
        <v>70000000</v>
      </c>
      <c r="E30" t="s">
        <v>247</v>
      </c>
    </row>
    <row r="31">
      <c r="A31" t="s">
        <v>248</v>
      </c>
      <c r="B31" t="n">
        <v>0</v>
      </c>
      <c r="C31" t="s">
        <v>219</v>
      </c>
      <c r="D31" t="n">
        <v>0</v>
      </c>
      <c r="E31"/>
    </row>
    <row r="32">
      <c r="A32" t="s">
        <v>249</v>
      </c>
      <c r="B32" t="n">
        <v>0</v>
      </c>
      <c r="C32" t="s">
        <v>219</v>
      </c>
      <c r="D32" t="n">
        <v>0</v>
      </c>
      <c r="E32"/>
    </row>
    <row r="33">
      <c r="A33" t="s">
        <v>250</v>
      </c>
      <c r="B33" t="n">
        <v>0</v>
      </c>
      <c r="C33" t="s">
        <v>219</v>
      </c>
      <c r="D33" t="n">
        <v>0</v>
      </c>
      <c r="E33"/>
    </row>
    <row r="34">
      <c r="A34" t="s">
        <v>251</v>
      </c>
      <c r="B34" t="n">
        <v>2800000</v>
      </c>
      <c r="C34" t="s">
        <v>219</v>
      </c>
      <c r="D34" t="n">
        <v>65000000</v>
      </c>
      <c r="E34" t="s">
        <v>252</v>
      </c>
    </row>
    <row r="35">
      <c r="A35" t="s">
        <v>253</v>
      </c>
      <c r="B35" t="n">
        <v>264000</v>
      </c>
      <c r="C35" t="s">
        <v>219</v>
      </c>
      <c r="D35" t="n">
        <v>12000000</v>
      </c>
      <c r="E35"/>
    </row>
    <row r="36">
      <c r="A36" t="s">
        <v>254</v>
      </c>
      <c r="B36" t="n">
        <v>38660000</v>
      </c>
      <c r="C36" t="s">
        <v>219</v>
      </c>
      <c r="D36" t="n">
        <v>590000000</v>
      </c>
      <c r="E36" t="s">
        <v>255</v>
      </c>
    </row>
    <row r="37">
      <c r="A37" t="s">
        <v>256</v>
      </c>
      <c r="B37" t="n">
        <v>0</v>
      </c>
      <c r="C37" t="s">
        <v>219</v>
      </c>
      <c r="D37" t="n">
        <v>0</v>
      </c>
      <c r="E37"/>
    </row>
    <row r="38">
      <c r="A38" t="s">
        <v>257</v>
      </c>
      <c r="B38" t="n">
        <v>0</v>
      </c>
      <c r="C38" t="s">
        <v>219</v>
      </c>
      <c r="D38" t="n">
        <v>0</v>
      </c>
      <c r="E38"/>
    </row>
    <row r="39">
      <c r="A39" t="s">
        <v>258</v>
      </c>
      <c r="B39" t="n">
        <v>0</v>
      </c>
      <c r="C39" t="s">
        <v>219</v>
      </c>
      <c r="D39" t="n">
        <v>0</v>
      </c>
      <c r="E39"/>
    </row>
    <row r="40">
      <c r="A40" t="s">
        <v>259</v>
      </c>
      <c r="B40" t="n">
        <v>0</v>
      </c>
      <c r="C40" t="s">
        <v>219</v>
      </c>
      <c r="D40" t="n">
        <v>0</v>
      </c>
      <c r="E40"/>
    </row>
    <row r="41">
      <c r="A41" t="s">
        <v>260</v>
      </c>
      <c r="B41" t="n">
        <v>10720000</v>
      </c>
      <c r="C41" t="s">
        <v>219</v>
      </c>
      <c r="D41" t="n">
        <v>260000000</v>
      </c>
      <c r="E41" t="s">
        <v>261</v>
      </c>
    </row>
    <row r="42">
      <c r="A42" t="s">
        <v>262</v>
      </c>
      <c r="B42" t="n">
        <v>0</v>
      </c>
      <c r="C42" t="s">
        <v>219</v>
      </c>
      <c r="D42" t="n">
        <v>0</v>
      </c>
      <c r="E42"/>
    </row>
    <row r="43">
      <c r="A43" t="s">
        <v>263</v>
      </c>
      <c r="B43" t="n">
        <v>0</v>
      </c>
      <c r="C43" t="s">
        <v>219</v>
      </c>
      <c r="D43" t="n">
        <v>0</v>
      </c>
      <c r="E43"/>
    </row>
    <row r="44">
      <c r="A44" t="s">
        <v>264</v>
      </c>
      <c r="B44" t="n">
        <v>27870000</v>
      </c>
      <c r="C44" t="s">
        <v>219</v>
      </c>
      <c r="D44" t="n">
        <v>560000000</v>
      </c>
      <c r="E44" t="s">
        <v>265</v>
      </c>
    </row>
    <row r="45">
      <c r="A45" t="s">
        <v>266</v>
      </c>
      <c r="B45" t="n">
        <v>8220000</v>
      </c>
      <c r="C45" t="s">
        <v>219</v>
      </c>
      <c r="D45" t="n">
        <v>430000000</v>
      </c>
      <c r="E45" t="s">
        <v>267</v>
      </c>
    </row>
    <row r="46">
      <c r="A46" t="s">
        <v>268</v>
      </c>
      <c r="B46" t="n">
        <v>930000</v>
      </c>
      <c r="C46" t="s">
        <v>219</v>
      </c>
      <c r="D46" t="n">
        <v>40000000</v>
      </c>
      <c r="E46"/>
    </row>
    <row r="47">
      <c r="A47" t="s">
        <v>269</v>
      </c>
      <c r="B47" t="n">
        <v>0</v>
      </c>
      <c r="C47" t="s">
        <v>219</v>
      </c>
      <c r="D47" t="n">
        <v>0</v>
      </c>
      <c r="E47"/>
    </row>
    <row r="48">
      <c r="A48" t="s">
        <v>270</v>
      </c>
      <c r="B48" t="n">
        <v>50110000</v>
      </c>
      <c r="C48" t="s">
        <v>219</v>
      </c>
      <c r="D48" t="n">
        <v>3000000000</v>
      </c>
      <c r="E48" t="s">
        <v>271</v>
      </c>
    </row>
    <row r="49">
      <c r="A49" t="s">
        <v>272</v>
      </c>
      <c r="B49" t="n">
        <v>0</v>
      </c>
      <c r="C49" t="s">
        <v>219</v>
      </c>
      <c r="D49" t="n">
        <v>0</v>
      </c>
      <c r="E49"/>
    </row>
    <row r="50">
      <c r="A50" t="s">
        <v>273</v>
      </c>
      <c r="B50" t="n">
        <v>0</v>
      </c>
      <c r="C50" t="s">
        <v>219</v>
      </c>
      <c r="D50" t="n">
        <v>0</v>
      </c>
      <c r="E50"/>
    </row>
    <row r="51">
      <c r="A51" t="s">
        <v>274</v>
      </c>
      <c r="B51" t="n">
        <v>0</v>
      </c>
      <c r="C51" t="s">
        <v>219</v>
      </c>
      <c r="D51" t="n">
        <v>0</v>
      </c>
      <c r="E51"/>
    </row>
    <row r="52">
      <c r="A52" t="s">
        <v>275</v>
      </c>
      <c r="B52" t="n">
        <v>400000</v>
      </c>
      <c r="C52" t="s">
        <v>219</v>
      </c>
      <c r="D52" t="n">
        <v>22000000</v>
      </c>
      <c r="E52" t="s">
        <v>276</v>
      </c>
    </row>
    <row r="53">
      <c r="A53" t="s">
        <v>277</v>
      </c>
      <c r="B53" t="n">
        <v>22820000</v>
      </c>
      <c r="C53" t="s">
        <v>219</v>
      </c>
      <c r="D53" t="n">
        <v>500000000</v>
      </c>
      <c r="E53" t="s">
        <v>244</v>
      </c>
    </row>
    <row r="54">
      <c r="A54" t="s">
        <v>278</v>
      </c>
      <c r="B54" t="n">
        <v>12810000</v>
      </c>
      <c r="C54" t="s">
        <v>219</v>
      </c>
      <c r="D54" t="n">
        <v>380000000</v>
      </c>
      <c r="E54" t="s">
        <v>279</v>
      </c>
    </row>
    <row r="55">
      <c r="A55" t="s">
        <v>280</v>
      </c>
      <c r="B55" t="n">
        <v>0</v>
      </c>
      <c r="C55" t="s">
        <v>219</v>
      </c>
      <c r="D55" t="n">
        <v>0</v>
      </c>
      <c r="E55"/>
    </row>
    <row r="56">
      <c r="A56" t="s">
        <v>281</v>
      </c>
      <c r="B56" t="n">
        <v>11480000</v>
      </c>
      <c r="C56" t="s">
        <v>219</v>
      </c>
      <c r="D56" t="n">
        <v>620000000</v>
      </c>
      <c r="E56" t="s">
        <v>282</v>
      </c>
    </row>
    <row r="57">
      <c r="A57" t="s">
        <v>283</v>
      </c>
      <c r="B57" t="n">
        <v>3050000</v>
      </c>
      <c r="C57" t="s">
        <v>219</v>
      </c>
      <c r="D57" t="n">
        <v>90000000</v>
      </c>
      <c r="E57" t="s">
        <v>284</v>
      </c>
    </row>
    <row r="58">
      <c r="A58" t="s">
        <v>285</v>
      </c>
      <c r="B58" t="n">
        <v>93320000</v>
      </c>
      <c r="C58" t="s">
        <v>219</v>
      </c>
      <c r="D58" t="n">
        <v>5050000000</v>
      </c>
      <c r="E58" t="s">
        <v>286</v>
      </c>
    </row>
    <row r="59">
      <c r="A59" t="s">
        <v>287</v>
      </c>
      <c r="B59" t="n">
        <v>0</v>
      </c>
      <c r="C59" t="s">
        <v>219</v>
      </c>
      <c r="D59" t="n">
        <v>0</v>
      </c>
      <c r="E59"/>
    </row>
    <row r="60">
      <c r="A60" t="s">
        <v>288</v>
      </c>
      <c r="B60" t="n">
        <v>276040000</v>
      </c>
      <c r="C60" t="s">
        <v>219</v>
      </c>
      <c r="D60" t="n">
        <v>3690000000</v>
      </c>
      <c r="E60" t="s">
        <v>289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290</v>
      </c>
    </row>
    <row r="2">
      <c r="A2" t="s">
        <v>291</v>
      </c>
    </row>
    <row r="3">
      <c r="A3" t="s">
        <v>292</v>
      </c>
    </row>
    <row r="4">
      <c r="A4" t="s">
        <v>1</v>
      </c>
    </row>
    <row r="5">
      <c r="A5" t="s">
        <v>293</v>
      </c>
    </row>
    <row r="6">
      <c r="A6" t="s">
        <v>294</v>
      </c>
    </row>
    <row r="7">
      <c r="A7" t="s">
        <v>295</v>
      </c>
    </row>
    <row r="8">
      <c r="A8" t="s">
        <v>296</v>
      </c>
    </row>
    <row r="9">
      <c r="A9" t="s">
        <v>297</v>
      </c>
    </row>
    <row r="10">
      <c r="A10" t="s">
        <v>298</v>
      </c>
    </row>
    <row r="11">
      <c r="A11" t="s">
        <v>299</v>
      </c>
    </row>
    <row r="12">
      <c r="A12" t="s">
        <v>300</v>
      </c>
    </row>
    <row r="13">
      <c r="A13" t="s">
        <v>1</v>
      </c>
    </row>
    <row r="14">
      <c r="A14" t="s">
        <v>301</v>
      </c>
    </row>
    <row r="15">
      <c r="A15" t="s">
        <v>1</v>
      </c>
    </row>
    <row r="17">
      <c r="A17" t="s">
        <v>302</v>
      </c>
    </row>
    <row r="18">
      <c r="A18" t="s">
        <v>303</v>
      </c>
    </row>
    <row r="20">
      <c r="A20" t="s">
        <v>304</v>
      </c>
    </row>
    <row r="21">
      <c r="A21" t="s">
        <v>305</v>
      </c>
    </row>
    <row r="23">
      <c r="A23" t="s">
        <v>306</v>
      </c>
    </row>
    <row r="25">
      <c r="A25" t="s">
        <v>213</v>
      </c>
      <c r="B25" t="s">
        <v>307</v>
      </c>
      <c r="C25" t="s">
        <v>308</v>
      </c>
      <c r="D25" t="s">
        <v>309</v>
      </c>
      <c r="E25" t="s">
        <v>310</v>
      </c>
    </row>
    <row r="26">
      <c r="A26" t="s">
        <v>221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218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225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223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226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227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229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231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230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232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233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234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239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235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236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238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240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241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243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248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246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245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249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250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253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251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254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263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264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256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258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259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260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257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262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266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268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269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270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272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273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274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275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277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278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281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280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283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287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285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288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49.71" hidden="0" customWidth="1"/>
  </cols>
  <sheetData>
    <row r="1">
      <c r="A1" t="s">
        <v>311</v>
      </c>
    </row>
    <row r="2">
      <c r="A2" t="s">
        <v>1</v>
      </c>
    </row>
    <row r="3">
      <c r="A3" t="s">
        <v>312</v>
      </c>
    </row>
    <row r="4">
      <c r="A4" t="s">
        <v>313</v>
      </c>
    </row>
    <row r="5">
      <c r="A5" t="s">
        <v>314</v>
      </c>
    </row>
    <row r="6">
      <c r="A6" t="s">
        <v>1</v>
      </c>
    </row>
    <row r="8">
      <c r="A8" t="s">
        <v>315</v>
      </c>
      <c r="B8" t="s">
        <v>316</v>
      </c>
      <c r="C8" t="s">
        <v>317</v>
      </c>
      <c r="D8" t="s">
        <v>318</v>
      </c>
      <c r="E8" t="s">
        <v>319</v>
      </c>
      <c r="F8" t="s">
        <v>320</v>
      </c>
      <c r="G8" t="s">
        <v>321</v>
      </c>
    </row>
    <row r="9">
      <c r="A9" t="s">
        <v>126</v>
      </c>
      <c r="B9" t="s">
        <v>322</v>
      </c>
      <c r="C9" t="s">
        <v>323</v>
      </c>
      <c r="D9" t="s">
        <v>324</v>
      </c>
      <c r="E9" t="n">
        <v>1</v>
      </c>
      <c r="F9"/>
      <c r="G9"/>
    </row>
    <row r="10">
      <c r="A10" t="s">
        <v>127</v>
      </c>
      <c r="B10" t="s">
        <v>325</v>
      </c>
      <c r="C10" t="s">
        <v>323</v>
      </c>
      <c r="D10" t="s">
        <v>324</v>
      </c>
      <c r="E10" t="n">
        <v>1</v>
      </c>
      <c r="F10"/>
      <c r="G10"/>
    </row>
    <row r="11">
      <c r="A11" t="s">
        <v>128</v>
      </c>
      <c r="B11" t="s">
        <v>326</v>
      </c>
      <c r="C11" t="s">
        <v>327</v>
      </c>
      <c r="D11" t="s">
        <v>328</v>
      </c>
      <c r="E11" t="n">
        <v>1</v>
      </c>
      <c r="F11"/>
      <c r="G11"/>
    </row>
    <row r="12">
      <c r="A12" t="s">
        <v>130</v>
      </c>
      <c r="B12" t="s">
        <v>329</v>
      </c>
      <c r="C12" t="s">
        <v>330</v>
      </c>
      <c r="D12" t="s">
        <v>331</v>
      </c>
      <c r="E12" t="n">
        <v>1</v>
      </c>
      <c r="F12"/>
      <c r="G12"/>
    </row>
    <row r="13">
      <c r="A13" t="s">
        <v>131</v>
      </c>
      <c r="B13" t="s">
        <v>332</v>
      </c>
      <c r="C13" t="s">
        <v>333</v>
      </c>
      <c r="D13" t="s">
        <v>334</v>
      </c>
      <c r="E13" t="n">
        <v>0.72</v>
      </c>
      <c r="F13" t="s">
        <v>335</v>
      </c>
      <c r="G13"/>
    </row>
    <row r="14">
      <c r="A14" t="s">
        <v>131</v>
      </c>
      <c r="B14" t="s">
        <v>332</v>
      </c>
      <c r="C14" t="s">
        <v>336</v>
      </c>
      <c r="D14" t="s">
        <v>337</v>
      </c>
      <c r="E14" t="n">
        <v>0.2</v>
      </c>
      <c r="F14" t="s">
        <v>338</v>
      </c>
      <c r="G14"/>
    </row>
    <row r="15">
      <c r="A15" t="s">
        <v>131</v>
      </c>
      <c r="B15" t="s">
        <v>332</v>
      </c>
      <c r="C15" t="s">
        <v>339</v>
      </c>
      <c r="D15" t="s">
        <v>340</v>
      </c>
      <c r="E15" t="n">
        <v>0.08</v>
      </c>
      <c r="F15" t="s">
        <v>341</v>
      </c>
      <c r="G15"/>
    </row>
    <row r="16">
      <c r="A16" t="s">
        <v>132</v>
      </c>
      <c r="B16" t="s">
        <v>342</v>
      </c>
      <c r="C16" t="s">
        <v>343</v>
      </c>
      <c r="D16" t="s">
        <v>342</v>
      </c>
      <c r="E16" t="n">
        <v>1</v>
      </c>
      <c r="F16"/>
      <c r="G16"/>
    </row>
    <row r="17">
      <c r="A17" t="s">
        <v>144</v>
      </c>
      <c r="B17" t="s">
        <v>344</v>
      </c>
      <c r="C17" t="s">
        <v>345</v>
      </c>
      <c r="D17" t="s">
        <v>346</v>
      </c>
      <c r="E17" t="n">
        <v>1</v>
      </c>
      <c r="F17"/>
      <c r="G17"/>
    </row>
    <row r="18">
      <c r="A18" t="s">
        <v>145</v>
      </c>
      <c r="B18" t="s">
        <v>347</v>
      </c>
      <c r="C18" t="s">
        <v>348</v>
      </c>
      <c r="D18" t="s">
        <v>349</v>
      </c>
      <c r="E18" t="n">
        <v>1</v>
      </c>
      <c r="F18"/>
      <c r="G18"/>
    </row>
    <row r="19">
      <c r="A19" t="s">
        <v>146</v>
      </c>
      <c r="B19" t="s">
        <v>350</v>
      </c>
      <c r="C19" t="s">
        <v>348</v>
      </c>
      <c r="D19" t="s">
        <v>349</v>
      </c>
      <c r="E19" t="n">
        <v>1</v>
      </c>
      <c r="F19"/>
      <c r="G19"/>
    </row>
    <row r="20">
      <c r="A20" t="s">
        <v>133</v>
      </c>
      <c r="B20" t="s">
        <v>351</v>
      </c>
      <c r="C20" t="s">
        <v>352</v>
      </c>
      <c r="D20" t="s">
        <v>353</v>
      </c>
      <c r="E20" t="n">
        <v>1</v>
      </c>
      <c r="F20"/>
      <c r="G20"/>
    </row>
    <row r="21">
      <c r="A21" t="s">
        <v>147</v>
      </c>
      <c r="B21" t="s">
        <v>354</v>
      </c>
      <c r="C21" t="s">
        <v>355</v>
      </c>
      <c r="D21" t="s">
        <v>356</v>
      </c>
      <c r="E21" t="n">
        <v>1</v>
      </c>
      <c r="F21"/>
      <c r="G21"/>
    </row>
    <row r="22">
      <c r="A22" t="s">
        <v>148</v>
      </c>
      <c r="B22" t="s">
        <v>357</v>
      </c>
      <c r="C22" t="s">
        <v>355</v>
      </c>
      <c r="D22" t="s">
        <v>356</v>
      </c>
      <c r="E22" t="n">
        <v>1</v>
      </c>
      <c r="F22"/>
      <c r="G22"/>
    </row>
    <row r="23">
      <c r="A23" t="s">
        <v>149</v>
      </c>
      <c r="B23" t="s">
        <v>358</v>
      </c>
      <c r="C23" t="s">
        <v>359</v>
      </c>
      <c r="D23" t="s">
        <v>360</v>
      </c>
      <c r="E23" t="n">
        <v>0.961</v>
      </c>
      <c r="F23" t="s">
        <v>361</v>
      </c>
      <c r="G23"/>
    </row>
    <row r="24">
      <c r="A24" t="s">
        <v>149</v>
      </c>
      <c r="B24" t="s">
        <v>358</v>
      </c>
      <c r="C24" t="s">
        <v>362</v>
      </c>
      <c r="D24" t="s">
        <v>363</v>
      </c>
      <c r="E24" t="n">
        <v>0.039</v>
      </c>
      <c r="F24" t="s">
        <v>364</v>
      </c>
      <c r="G24"/>
    </row>
    <row r="25">
      <c r="A25" t="s">
        <v>151</v>
      </c>
      <c r="B25" t="s">
        <v>365</v>
      </c>
      <c r="C25" t="s">
        <v>131</v>
      </c>
      <c r="D25" t="s">
        <v>366</v>
      </c>
      <c r="E25" t="n">
        <v>1</v>
      </c>
      <c r="F25"/>
      <c r="G25"/>
    </row>
    <row r="26">
      <c r="A26" t="s">
        <v>136</v>
      </c>
      <c r="B26" t="s">
        <v>367</v>
      </c>
      <c r="C26" t="s">
        <v>368</v>
      </c>
      <c r="D26" t="s">
        <v>367</v>
      </c>
      <c r="E26" t="n">
        <v>1</v>
      </c>
      <c r="F26"/>
      <c r="G26"/>
    </row>
    <row r="27">
      <c r="A27" t="s">
        <v>137</v>
      </c>
      <c r="B27" t="s">
        <v>369</v>
      </c>
      <c r="C27" t="s">
        <v>370</v>
      </c>
      <c r="D27" t="s">
        <v>371</v>
      </c>
      <c r="E27" t="n">
        <v>1</v>
      </c>
      <c r="F27"/>
      <c r="G27"/>
    </row>
    <row r="28">
      <c r="A28" t="s">
        <v>138</v>
      </c>
      <c r="B28" t="s">
        <v>372</v>
      </c>
      <c r="C28" t="s">
        <v>373</v>
      </c>
      <c r="D28" t="s">
        <v>374</v>
      </c>
      <c r="E28" t="n">
        <v>1</v>
      </c>
      <c r="F28"/>
      <c r="G28"/>
    </row>
    <row r="29">
      <c r="A29" t="s">
        <v>139</v>
      </c>
      <c r="B29" t="s">
        <v>375</v>
      </c>
      <c r="C29" t="s">
        <v>376</v>
      </c>
      <c r="D29" t="s">
        <v>377</v>
      </c>
      <c r="E29" t="n">
        <v>1</v>
      </c>
      <c r="F29"/>
      <c r="G29"/>
    </row>
    <row r="30">
      <c r="A30" t="s">
        <v>140</v>
      </c>
      <c r="B30" t="s">
        <v>378</v>
      </c>
      <c r="C30" t="s">
        <v>379</v>
      </c>
      <c r="D30" t="s">
        <v>380</v>
      </c>
      <c r="E30" t="n">
        <v>1</v>
      </c>
      <c r="F30"/>
      <c r="G30"/>
    </row>
    <row r="31">
      <c r="A31" t="s">
        <v>141</v>
      </c>
      <c r="B31" t="s">
        <v>381</v>
      </c>
      <c r="C31" t="s">
        <v>382</v>
      </c>
      <c r="D31" t="s">
        <v>383</v>
      </c>
      <c r="E31" t="n">
        <v>1</v>
      </c>
      <c r="F31"/>
      <c r="G31"/>
    </row>
    <row r="32">
      <c r="A32" t="s">
        <v>142</v>
      </c>
      <c r="B32" t="s">
        <v>384</v>
      </c>
      <c r="C32" t="s">
        <v>385</v>
      </c>
      <c r="D32" t="s">
        <v>386</v>
      </c>
      <c r="E32" t="n">
        <v>1</v>
      </c>
      <c r="F32"/>
      <c r="G32"/>
    </row>
    <row r="33">
      <c r="A33" t="s">
        <v>143</v>
      </c>
      <c r="B33" t="s">
        <v>387</v>
      </c>
      <c r="C33" t="s">
        <v>385</v>
      </c>
      <c r="D33" t="s">
        <v>386</v>
      </c>
      <c r="E33" t="n">
        <v>1</v>
      </c>
      <c r="F33"/>
      <c r="G33"/>
    </row>
    <row r="34">
      <c r="A34" t="s">
        <v>152</v>
      </c>
      <c r="B34" t="s">
        <v>388</v>
      </c>
      <c r="C34" t="s">
        <v>389</v>
      </c>
      <c r="D34" t="s">
        <v>390</v>
      </c>
      <c r="E34" t="n">
        <v>1</v>
      </c>
      <c r="F34"/>
      <c r="G34"/>
    </row>
    <row r="35">
      <c r="A35" t="s">
        <v>153</v>
      </c>
      <c r="B35" t="s">
        <v>391</v>
      </c>
      <c r="C35" t="s">
        <v>389</v>
      </c>
      <c r="D35" t="s">
        <v>390</v>
      </c>
      <c r="E35" t="n">
        <v>1</v>
      </c>
      <c r="F35"/>
      <c r="G35"/>
    </row>
    <row r="36">
      <c r="A36" t="s">
        <v>154</v>
      </c>
      <c r="B36" t="s">
        <v>392</v>
      </c>
      <c r="C36" t="s">
        <v>389</v>
      </c>
      <c r="D36" t="s">
        <v>390</v>
      </c>
      <c r="E36" t="n">
        <v>1</v>
      </c>
      <c r="F36"/>
      <c r="G36"/>
    </row>
    <row r="37">
      <c r="A37" t="s">
        <v>155</v>
      </c>
      <c r="B37" t="s">
        <v>393</v>
      </c>
      <c r="C37" t="s">
        <v>389</v>
      </c>
      <c r="D37" t="s">
        <v>390</v>
      </c>
      <c r="E37" t="n">
        <v>1</v>
      </c>
      <c r="F37"/>
      <c r="G37"/>
    </row>
    <row r="38">
      <c r="A38" t="s">
        <v>156</v>
      </c>
      <c r="B38" t="s">
        <v>394</v>
      </c>
      <c r="C38" t="s">
        <v>389</v>
      </c>
      <c r="D38" t="s">
        <v>390</v>
      </c>
      <c r="E38" t="n">
        <v>1</v>
      </c>
      <c r="F38"/>
      <c r="G38"/>
    </row>
    <row r="39">
      <c r="A39" t="s">
        <v>157</v>
      </c>
      <c r="B39" t="s">
        <v>395</v>
      </c>
      <c r="C39" t="s">
        <v>396</v>
      </c>
      <c r="D39" t="s">
        <v>397</v>
      </c>
      <c r="E39" t="n">
        <v>1</v>
      </c>
      <c r="F39"/>
      <c r="G39"/>
    </row>
    <row r="40">
      <c r="A40" t="s">
        <v>158</v>
      </c>
      <c r="B40" t="s">
        <v>398</v>
      </c>
      <c r="C40" t="s">
        <v>396</v>
      </c>
      <c r="D40" t="s">
        <v>397</v>
      </c>
      <c r="E40" t="n">
        <v>1</v>
      </c>
      <c r="F40"/>
      <c r="G40"/>
    </row>
    <row r="41">
      <c r="A41" t="s">
        <v>159</v>
      </c>
      <c r="B41" t="s">
        <v>399</v>
      </c>
      <c r="C41" t="s">
        <v>396</v>
      </c>
      <c r="D41" t="s">
        <v>397</v>
      </c>
      <c r="E41" t="n">
        <v>1</v>
      </c>
      <c r="F41"/>
      <c r="G41"/>
    </row>
    <row r="42">
      <c r="A42" t="s">
        <v>160</v>
      </c>
      <c r="B42" t="s">
        <v>400</v>
      </c>
      <c r="C42" t="s">
        <v>396</v>
      </c>
      <c r="D42" t="s">
        <v>397</v>
      </c>
      <c r="E42" t="n">
        <v>1</v>
      </c>
      <c r="F42"/>
      <c r="G42"/>
    </row>
    <row r="43">
      <c r="A43" t="s">
        <v>161</v>
      </c>
      <c r="B43" t="s">
        <v>401</v>
      </c>
      <c r="C43" t="s">
        <v>396</v>
      </c>
      <c r="D43" t="s">
        <v>397</v>
      </c>
      <c r="E43" t="n">
        <v>1</v>
      </c>
      <c r="F43"/>
      <c r="G43"/>
    </row>
    <row r="44">
      <c r="A44" t="s">
        <v>162</v>
      </c>
      <c r="B44" t="s">
        <v>402</v>
      </c>
      <c r="C44" t="s">
        <v>336</v>
      </c>
      <c r="D44" t="s">
        <v>403</v>
      </c>
      <c r="E44" t="n">
        <v>1</v>
      </c>
      <c r="F44" t="s">
        <v>404</v>
      </c>
      <c r="G44"/>
    </row>
    <row r="45">
      <c r="A45" t="s">
        <v>163</v>
      </c>
      <c r="B45" t="s">
        <v>405</v>
      </c>
      <c r="C45" t="s">
        <v>396</v>
      </c>
      <c r="D45" t="s">
        <v>397</v>
      </c>
      <c r="E45" t="n">
        <v>1</v>
      </c>
      <c r="F45"/>
      <c r="G45"/>
    </row>
    <row r="46">
      <c r="A46" t="s">
        <v>164</v>
      </c>
      <c r="B46" t="s">
        <v>406</v>
      </c>
      <c r="C46" t="s">
        <v>396</v>
      </c>
      <c r="D46" t="s">
        <v>397</v>
      </c>
      <c r="E46" t="n">
        <v>1</v>
      </c>
      <c r="F46"/>
      <c r="G46"/>
    </row>
    <row r="47">
      <c r="A47" t="s">
        <v>165</v>
      </c>
      <c r="B47" t="s">
        <v>407</v>
      </c>
      <c r="C47" t="s">
        <v>408</v>
      </c>
      <c r="D47" t="s">
        <v>409</v>
      </c>
      <c r="E47" t="n">
        <v>1</v>
      </c>
      <c r="F47"/>
      <c r="G47"/>
    </row>
    <row r="48">
      <c r="A48" t="s">
        <v>166</v>
      </c>
      <c r="B48" t="s">
        <v>410</v>
      </c>
      <c r="C48" t="s">
        <v>408</v>
      </c>
      <c r="D48" t="s">
        <v>409</v>
      </c>
      <c r="E48" t="n">
        <v>1</v>
      </c>
      <c r="F48"/>
      <c r="G48"/>
    </row>
    <row r="49">
      <c r="A49" t="s">
        <v>167</v>
      </c>
      <c r="B49" t="s">
        <v>411</v>
      </c>
      <c r="C49" t="s">
        <v>408</v>
      </c>
      <c r="D49" t="s">
        <v>409</v>
      </c>
      <c r="E49" t="n">
        <v>0.25</v>
      </c>
      <c r="F49" t="s">
        <v>412</v>
      </c>
      <c r="G49"/>
    </row>
    <row r="50">
      <c r="A50" t="s">
        <v>167</v>
      </c>
      <c r="B50" t="s">
        <v>411</v>
      </c>
      <c r="C50" t="s">
        <v>182</v>
      </c>
      <c r="D50" t="s">
        <v>413</v>
      </c>
      <c r="E50" t="n">
        <v>0.75</v>
      </c>
      <c r="F50"/>
      <c r="G50"/>
    </row>
    <row r="51">
      <c r="A51" t="s">
        <v>168</v>
      </c>
      <c r="B51" t="s">
        <v>414</v>
      </c>
      <c r="C51" t="s">
        <v>415</v>
      </c>
      <c r="D51" t="s">
        <v>416</v>
      </c>
      <c r="E51" t="n">
        <v>1</v>
      </c>
      <c r="F51"/>
      <c r="G51"/>
    </row>
    <row r="52">
      <c r="A52" t="s">
        <v>169</v>
      </c>
      <c r="B52" t="s">
        <v>417</v>
      </c>
      <c r="C52" t="s">
        <v>418</v>
      </c>
      <c r="D52" t="s">
        <v>419</v>
      </c>
      <c r="E52" t="n">
        <v>1</v>
      </c>
      <c r="F52"/>
      <c r="G52"/>
    </row>
    <row r="53">
      <c r="A53" t="s">
        <v>170</v>
      </c>
      <c r="B53" t="s">
        <v>420</v>
      </c>
      <c r="C53" t="s">
        <v>418</v>
      </c>
      <c r="D53" t="s">
        <v>419</v>
      </c>
      <c r="E53" t="n">
        <v>1</v>
      </c>
      <c r="F53"/>
      <c r="G53"/>
    </row>
    <row r="54">
      <c r="A54" t="s">
        <v>171</v>
      </c>
      <c r="B54" t="s">
        <v>421</v>
      </c>
      <c r="C54" t="s">
        <v>418</v>
      </c>
      <c r="D54" t="s">
        <v>419</v>
      </c>
      <c r="E54" t="n">
        <v>1</v>
      </c>
      <c r="F54"/>
      <c r="G54"/>
    </row>
    <row r="55">
      <c r="A55" t="s">
        <v>172</v>
      </c>
      <c r="B55" t="s">
        <v>422</v>
      </c>
      <c r="C55" t="s">
        <v>418</v>
      </c>
      <c r="D55" t="s">
        <v>419</v>
      </c>
      <c r="E55" t="n">
        <v>1</v>
      </c>
      <c r="F55"/>
      <c r="G55"/>
    </row>
    <row r="56">
      <c r="A56" t="s">
        <v>173</v>
      </c>
      <c r="B56" t="s">
        <v>423</v>
      </c>
      <c r="C56" t="s">
        <v>424</v>
      </c>
      <c r="D56" t="s">
        <v>425</v>
      </c>
      <c r="E56" t="n">
        <v>1</v>
      </c>
      <c r="F56"/>
      <c r="G56"/>
    </row>
    <row r="57">
      <c r="A57" t="s">
        <v>174</v>
      </c>
      <c r="B57" t="s">
        <v>426</v>
      </c>
      <c r="C57" t="s">
        <v>424</v>
      </c>
      <c r="D57" t="s">
        <v>425</v>
      </c>
      <c r="E57" t="n">
        <v>1</v>
      </c>
      <c r="F57"/>
      <c r="G57"/>
    </row>
    <row r="58">
      <c r="A58" t="s">
        <v>175</v>
      </c>
      <c r="B58" t="s">
        <v>427</v>
      </c>
      <c r="C58" t="s">
        <v>428</v>
      </c>
      <c r="D58" t="s">
        <v>429</v>
      </c>
      <c r="E58" t="n">
        <v>1</v>
      </c>
      <c r="F58" t="s">
        <v>430</v>
      </c>
      <c r="G58"/>
    </row>
    <row r="59">
      <c r="A59" t="s">
        <v>176</v>
      </c>
      <c r="B59" t="s">
        <v>431</v>
      </c>
      <c r="C59" t="s">
        <v>428</v>
      </c>
      <c r="D59" t="s">
        <v>429</v>
      </c>
      <c r="E59" t="n">
        <v>1</v>
      </c>
      <c r="F59"/>
      <c r="G59"/>
    </row>
    <row r="60">
      <c r="A60" t="s">
        <v>178</v>
      </c>
      <c r="B60" t="s">
        <v>432</v>
      </c>
      <c r="C60" t="s">
        <v>428</v>
      </c>
      <c r="D60" t="s">
        <v>429</v>
      </c>
      <c r="E60" t="n">
        <v>1</v>
      </c>
      <c r="F60"/>
      <c r="G60"/>
    </row>
    <row r="61">
      <c r="A61" t="s">
        <v>177</v>
      </c>
      <c r="B61" t="s">
        <v>433</v>
      </c>
      <c r="C61" t="s">
        <v>415</v>
      </c>
      <c r="D61" t="s">
        <v>416</v>
      </c>
      <c r="E61" t="n">
        <v>1</v>
      </c>
      <c r="F61" t="s">
        <v>434</v>
      </c>
      <c r="G61"/>
    </row>
    <row r="62">
      <c r="A62" t="s">
        <v>179</v>
      </c>
      <c r="B62" t="s">
        <v>435</v>
      </c>
      <c r="C62" t="s">
        <v>428</v>
      </c>
      <c r="D62" t="s">
        <v>429</v>
      </c>
      <c r="E62" t="n">
        <v>1</v>
      </c>
      <c r="F62"/>
      <c r="G62"/>
    </row>
    <row r="63">
      <c r="A63" t="s">
        <v>180</v>
      </c>
      <c r="B63" t="s">
        <v>436</v>
      </c>
      <c r="C63" t="s">
        <v>428</v>
      </c>
      <c r="D63" t="s">
        <v>429</v>
      </c>
      <c r="E63" t="n">
        <v>1</v>
      </c>
      <c r="F63"/>
      <c r="G63"/>
    </row>
    <row r="64">
      <c r="A64" t="s">
        <v>181</v>
      </c>
      <c r="B64" t="s">
        <v>437</v>
      </c>
      <c r="C64" t="s">
        <v>339</v>
      </c>
      <c r="D64" t="s">
        <v>438</v>
      </c>
      <c r="E64" t="n">
        <v>1</v>
      </c>
      <c r="F64"/>
      <c r="G64"/>
    </row>
    <row r="65">
      <c r="A65" t="s">
        <v>182</v>
      </c>
      <c r="B65" t="s">
        <v>439</v>
      </c>
      <c r="C65" t="s">
        <v>440</v>
      </c>
      <c r="D65" t="s">
        <v>441</v>
      </c>
      <c r="E65" t="n">
        <v>1</v>
      </c>
      <c r="F65"/>
      <c r="G65"/>
    </row>
    <row r="66">
      <c r="A66" t="s">
        <v>183</v>
      </c>
      <c r="B66" t="s">
        <v>442</v>
      </c>
      <c r="C66" t="s">
        <v>443</v>
      </c>
      <c r="D66" t="s">
        <v>444</v>
      </c>
      <c r="E66" t="n">
        <v>1</v>
      </c>
      <c r="F66"/>
      <c r="G66"/>
    </row>
    <row r="67">
      <c r="A67" t="s">
        <v>184</v>
      </c>
      <c r="B67" t="s">
        <v>445</v>
      </c>
      <c r="C67" t="s">
        <v>443</v>
      </c>
      <c r="D67" t="s">
        <v>444</v>
      </c>
      <c r="E67" t="n">
        <v>1</v>
      </c>
      <c r="F67"/>
      <c r="G67"/>
    </row>
    <row r="68">
      <c r="A68" t="s">
        <v>185</v>
      </c>
      <c r="B68" t="s">
        <v>446</v>
      </c>
      <c r="C68" t="s">
        <v>443</v>
      </c>
      <c r="D68" t="s">
        <v>444</v>
      </c>
      <c r="E68" t="n">
        <v>1</v>
      </c>
      <c r="F68"/>
      <c r="G68"/>
    </row>
    <row r="69">
      <c r="A69" t="s">
        <v>186</v>
      </c>
      <c r="B69" t="s">
        <v>447</v>
      </c>
      <c r="C69" t="s">
        <v>443</v>
      </c>
      <c r="D69" t="s">
        <v>444</v>
      </c>
      <c r="E69" t="n">
        <v>1</v>
      </c>
      <c r="F69"/>
      <c r="G69"/>
    </row>
    <row r="70">
      <c r="A70" t="s">
        <v>187</v>
      </c>
      <c r="B70" t="s">
        <v>448</v>
      </c>
      <c r="C70" t="s">
        <v>449</v>
      </c>
      <c r="D70" t="s">
        <v>450</v>
      </c>
      <c r="E70" t="n">
        <v>1</v>
      </c>
      <c r="F70"/>
      <c r="G70"/>
    </row>
    <row r="71">
      <c r="A71" t="s">
        <v>188</v>
      </c>
      <c r="B71" t="s">
        <v>451</v>
      </c>
      <c r="C71" t="s">
        <v>449</v>
      </c>
      <c r="D71" t="s">
        <v>450</v>
      </c>
      <c r="E71" t="n">
        <v>1</v>
      </c>
      <c r="F71"/>
      <c r="G71"/>
    </row>
    <row r="72">
      <c r="A72" t="s">
        <v>189</v>
      </c>
      <c r="B72" t="s">
        <v>452</v>
      </c>
      <c r="C72" t="s">
        <v>453</v>
      </c>
      <c r="D72" t="s">
        <v>454</v>
      </c>
      <c r="E72" t="n">
        <v>1</v>
      </c>
      <c r="F72"/>
      <c r="G72"/>
    </row>
    <row r="73">
      <c r="A73" t="s">
        <v>190</v>
      </c>
      <c r="B73" t="s">
        <v>455</v>
      </c>
      <c r="C73" t="s">
        <v>453</v>
      </c>
      <c r="D73" t="s">
        <v>454</v>
      </c>
      <c r="E73" t="n">
        <v>1</v>
      </c>
      <c r="F73"/>
      <c r="G73"/>
    </row>
    <row r="74">
      <c r="A74" t="s">
        <v>191</v>
      </c>
      <c r="B74" t="s">
        <v>456</v>
      </c>
      <c r="C74" t="s">
        <v>449</v>
      </c>
      <c r="D74" t="s">
        <v>450</v>
      </c>
      <c r="E74" t="n">
        <v>1</v>
      </c>
      <c r="F74"/>
      <c r="G74"/>
    </row>
    <row r="75">
      <c r="A75" t="s">
        <v>192</v>
      </c>
      <c r="B75" t="s">
        <v>457</v>
      </c>
      <c r="C75" t="s">
        <v>458</v>
      </c>
      <c r="D75" t="s">
        <v>459</v>
      </c>
      <c r="E75" t="n">
        <v>1</v>
      </c>
      <c r="F75"/>
      <c r="G75"/>
    </row>
    <row r="76">
      <c r="A76" t="s">
        <v>193</v>
      </c>
      <c r="B76" t="s">
        <v>460</v>
      </c>
      <c r="C76" t="s">
        <v>458</v>
      </c>
      <c r="D76" t="s">
        <v>459</v>
      </c>
      <c r="E76" t="n">
        <v>1</v>
      </c>
      <c r="F76"/>
      <c r="G76"/>
    </row>
    <row r="77">
      <c r="A77" t="s">
        <v>194</v>
      </c>
      <c r="B77" t="s">
        <v>461</v>
      </c>
      <c r="C77" t="s">
        <v>458</v>
      </c>
      <c r="D77" t="s">
        <v>459</v>
      </c>
      <c r="E77" t="n">
        <v>1</v>
      </c>
      <c r="F77"/>
      <c r="G77"/>
    </row>
    <row r="78">
      <c r="A78" t="s">
        <v>195</v>
      </c>
      <c r="B78" t="s">
        <v>462</v>
      </c>
      <c r="C78" t="s">
        <v>458</v>
      </c>
      <c r="D78" t="s">
        <v>459</v>
      </c>
      <c r="E78" t="n">
        <v>1</v>
      </c>
      <c r="F78"/>
      <c r="G78"/>
    </row>
    <row r="79">
      <c r="A79" t="s">
        <v>196</v>
      </c>
      <c r="B79" t="s">
        <v>463</v>
      </c>
      <c r="C79" t="s">
        <v>458</v>
      </c>
      <c r="D79" t="s">
        <v>459</v>
      </c>
      <c r="E79" t="n">
        <v>1</v>
      </c>
      <c r="F79"/>
      <c r="G79"/>
    </row>
    <row r="80">
      <c r="A80" t="s">
        <v>129</v>
      </c>
      <c r="B80" t="s">
        <v>464</v>
      </c>
      <c r="C80" t="s">
        <v>465</v>
      </c>
      <c r="D80" t="s">
        <v>466</v>
      </c>
      <c r="E80" t="n">
        <v>0</v>
      </c>
      <c r="F80"/>
      <c r="G80" t="s">
        <v>467</v>
      </c>
    </row>
    <row r="81">
      <c r="A81" t="s">
        <v>129</v>
      </c>
      <c r="B81" t="s">
        <v>464</v>
      </c>
      <c r="C81" t="s">
        <v>468</v>
      </c>
      <c r="D81" t="s">
        <v>469</v>
      </c>
      <c r="E81" t="n">
        <v>1</v>
      </c>
      <c r="F81"/>
      <c r="G81" t="s">
        <v>467</v>
      </c>
    </row>
    <row r="82">
      <c r="A82" t="s">
        <v>134</v>
      </c>
      <c r="B82" t="s">
        <v>470</v>
      </c>
      <c r="C82" t="s">
        <v>471</v>
      </c>
      <c r="D82" t="s">
        <v>472</v>
      </c>
      <c r="E82" t="n">
        <v>0.25</v>
      </c>
      <c r="F82"/>
      <c r="G82" t="s">
        <v>473</v>
      </c>
    </row>
    <row r="83">
      <c r="A83" t="s">
        <v>134</v>
      </c>
      <c r="B83" t="s">
        <v>470</v>
      </c>
      <c r="C83" t="s">
        <v>474</v>
      </c>
      <c r="D83" t="s">
        <v>475</v>
      </c>
      <c r="E83" t="n">
        <v>0.75</v>
      </c>
      <c r="F83"/>
      <c r="G83" t="s">
        <v>473</v>
      </c>
    </row>
    <row r="84">
      <c r="A84" t="s">
        <v>135</v>
      </c>
      <c r="B84" t="s">
        <v>476</v>
      </c>
      <c r="C84" t="s">
        <v>362</v>
      </c>
      <c r="D84" t="s">
        <v>363</v>
      </c>
      <c r="E84" t="n">
        <v>0.4</v>
      </c>
      <c r="F84"/>
      <c r="G84" t="s">
        <v>477</v>
      </c>
    </row>
    <row r="85">
      <c r="A85" t="s">
        <v>135</v>
      </c>
      <c r="B85" t="s">
        <v>476</v>
      </c>
      <c r="C85" t="s">
        <v>478</v>
      </c>
      <c r="D85" t="s">
        <v>479</v>
      </c>
      <c r="E85" t="n">
        <v>0.6</v>
      </c>
      <c r="F85"/>
      <c r="G85" t="s">
        <v>477</v>
      </c>
    </row>
    <row r="86">
      <c r="A86" t="s">
        <v>150</v>
      </c>
      <c r="B86" t="s">
        <v>480</v>
      </c>
      <c r="C86" t="s">
        <v>481</v>
      </c>
      <c r="D86" t="s">
        <v>482</v>
      </c>
      <c r="E86" t="n">
        <v>0.75</v>
      </c>
      <c r="F86"/>
      <c r="G86" t="s">
        <v>483</v>
      </c>
    </row>
    <row r="87">
      <c r="A87" t="s">
        <v>150</v>
      </c>
      <c r="B87" t="s">
        <v>480</v>
      </c>
      <c r="C87" t="s">
        <v>484</v>
      </c>
      <c r="D87" t="s">
        <v>485</v>
      </c>
      <c r="E87" t="n">
        <v>0.25</v>
      </c>
      <c r="F87"/>
      <c r="G87" t="s">
        <v>483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486</v>
      </c>
    </row>
    <row r="2">
      <c r="A2" t="s">
        <v>1</v>
      </c>
    </row>
    <row r="3">
      <c r="A3" t="s">
        <v>487</v>
      </c>
    </row>
    <row r="4">
      <c r="A4" t="s">
        <v>488</v>
      </c>
    </row>
    <row r="5">
      <c r="A5" t="s">
        <v>489</v>
      </c>
    </row>
    <row r="6">
      <c r="A6" t="s">
        <v>490</v>
      </c>
    </row>
    <row r="7">
      <c r="A7" t="s">
        <v>491</v>
      </c>
    </row>
    <row r="8">
      <c r="A8" t="s">
        <v>492</v>
      </c>
    </row>
    <row r="9">
      <c r="A9" t="s">
        <v>1</v>
      </c>
    </row>
    <row r="11">
      <c r="A11" t="s">
        <v>315</v>
      </c>
      <c r="B11" t="s">
        <v>317</v>
      </c>
      <c r="C11" t="s">
        <v>319</v>
      </c>
      <c r="D11" t="s">
        <v>321</v>
      </c>
    </row>
    <row r="12">
      <c r="A12" t="n">
        <v>212</v>
      </c>
      <c r="B12" t="s">
        <v>465</v>
      </c>
      <c r="C12" t="n">
        <v>0</v>
      </c>
      <c r="D12" t="s">
        <v>467</v>
      </c>
    </row>
    <row r="13">
      <c r="A13" t="n">
        <v>212</v>
      </c>
      <c r="B13" t="s">
        <v>468</v>
      </c>
      <c r="C13" t="n">
        <v>1</v>
      </c>
      <c r="D13" t="s">
        <v>467</v>
      </c>
    </row>
    <row r="14">
      <c r="A14" t="n">
        <v>327</v>
      </c>
      <c r="B14" t="s">
        <v>471</v>
      </c>
      <c r="C14" t="n">
        <v>0.25</v>
      </c>
      <c r="D14" t="s">
        <v>473</v>
      </c>
    </row>
    <row r="15">
      <c r="A15" t="n">
        <v>327</v>
      </c>
      <c r="B15" t="s">
        <v>474</v>
      </c>
      <c r="C15" t="n">
        <v>0.75</v>
      </c>
      <c r="D15" t="s">
        <v>473</v>
      </c>
    </row>
    <row r="16">
      <c r="A16" t="n">
        <v>331</v>
      </c>
      <c r="B16" t="s">
        <v>362</v>
      </c>
      <c r="C16" t="n">
        <v>0.4</v>
      </c>
      <c r="D16" t="s">
        <v>477</v>
      </c>
    </row>
    <row r="17">
      <c r="A17" t="n">
        <v>331</v>
      </c>
      <c r="B17" t="s">
        <v>478</v>
      </c>
      <c r="C17" t="n">
        <v>0.6</v>
      </c>
      <c r="D17" t="s">
        <v>477</v>
      </c>
    </row>
    <row r="18">
      <c r="A18" t="n">
        <v>325</v>
      </c>
      <c r="B18" t="s">
        <v>481</v>
      </c>
      <c r="C18" t="n">
        <v>0.75</v>
      </c>
      <c r="D18" t="s">
        <v>483</v>
      </c>
    </row>
    <row r="19">
      <c r="A19" t="n">
        <v>325</v>
      </c>
      <c r="B19" t="s">
        <v>484</v>
      </c>
      <c r="C19" t="n">
        <v>0.25</v>
      </c>
      <c r="D19" t="s">
        <v>483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493</v>
      </c>
    </row>
    <row r="2">
      <c r="A2" t="s">
        <v>494</v>
      </c>
    </row>
    <row r="3">
      <c r="A3" t="s">
        <v>495</v>
      </c>
    </row>
    <row r="4">
      <c r="A4" t="s">
        <v>496</v>
      </c>
    </row>
    <row r="5">
      <c r="A5" t="s">
        <v>1</v>
      </c>
    </row>
    <row r="7">
      <c r="A7" t="s">
        <v>497</v>
      </c>
      <c r="B7" t="s">
        <v>498</v>
      </c>
      <c r="C7" t="s">
        <v>499</v>
      </c>
    </row>
    <row r="8">
      <c r="A8" t="s">
        <v>323</v>
      </c>
      <c r="B8" t="s">
        <v>500</v>
      </c>
      <c r="C8" t="s">
        <v>501</v>
      </c>
    </row>
    <row r="9">
      <c r="A9" t="s">
        <v>465</v>
      </c>
      <c r="B9" t="s">
        <v>466</v>
      </c>
      <c r="C9" t="s">
        <v>502</v>
      </c>
    </row>
    <row r="10">
      <c r="A10" t="s">
        <v>327</v>
      </c>
      <c r="B10" t="s">
        <v>328</v>
      </c>
      <c r="C10" t="s">
        <v>503</v>
      </c>
    </row>
    <row r="11">
      <c r="A11" t="s">
        <v>468</v>
      </c>
      <c r="B11" t="s">
        <v>504</v>
      </c>
      <c r="C11" t="s">
        <v>505</v>
      </c>
    </row>
    <row r="12">
      <c r="A12" t="s">
        <v>330</v>
      </c>
      <c r="B12" t="s">
        <v>331</v>
      </c>
      <c r="C12" t="s">
        <v>506</v>
      </c>
    </row>
    <row r="13">
      <c r="A13" t="s">
        <v>345</v>
      </c>
      <c r="B13" t="s">
        <v>507</v>
      </c>
      <c r="C13" t="s">
        <v>508</v>
      </c>
    </row>
    <row r="14">
      <c r="A14" t="s">
        <v>348</v>
      </c>
      <c r="B14" t="s">
        <v>509</v>
      </c>
      <c r="C14" t="s">
        <v>510</v>
      </c>
    </row>
    <row r="15">
      <c r="A15" t="s">
        <v>352</v>
      </c>
      <c r="B15" t="s">
        <v>511</v>
      </c>
      <c r="C15" t="s">
        <v>512</v>
      </c>
    </row>
    <row r="16">
      <c r="A16" t="s">
        <v>355</v>
      </c>
      <c r="B16" t="s">
        <v>356</v>
      </c>
      <c r="C16" t="s">
        <v>513</v>
      </c>
    </row>
    <row r="17">
      <c r="A17" t="s">
        <v>359</v>
      </c>
      <c r="B17" t="s">
        <v>360</v>
      </c>
      <c r="C17" t="s">
        <v>514</v>
      </c>
    </row>
    <row r="18">
      <c r="A18" t="s">
        <v>481</v>
      </c>
      <c r="B18" t="s">
        <v>515</v>
      </c>
      <c r="C18" t="s">
        <v>516</v>
      </c>
    </row>
    <row r="19">
      <c r="A19" t="s">
        <v>484</v>
      </c>
      <c r="B19" t="s">
        <v>517</v>
      </c>
      <c r="C19" t="s">
        <v>518</v>
      </c>
    </row>
    <row r="20">
      <c r="A20" t="s">
        <v>131</v>
      </c>
      <c r="B20" t="s">
        <v>366</v>
      </c>
      <c r="C20" t="s">
        <v>519</v>
      </c>
    </row>
    <row r="21">
      <c r="A21" t="s">
        <v>471</v>
      </c>
      <c r="B21" t="s">
        <v>520</v>
      </c>
      <c r="C21" t="s">
        <v>521</v>
      </c>
    </row>
    <row r="22">
      <c r="A22" t="s">
        <v>474</v>
      </c>
      <c r="B22" t="s">
        <v>522</v>
      </c>
      <c r="C22" t="s">
        <v>523</v>
      </c>
    </row>
    <row r="23">
      <c r="A23" t="s">
        <v>362</v>
      </c>
      <c r="B23" t="s">
        <v>524</v>
      </c>
      <c r="C23" t="s">
        <v>525</v>
      </c>
    </row>
    <row r="24">
      <c r="A24" t="s">
        <v>478</v>
      </c>
      <c r="B24" t="s">
        <v>526</v>
      </c>
      <c r="C24" t="s">
        <v>527</v>
      </c>
    </row>
    <row r="25">
      <c r="A25" t="s">
        <v>368</v>
      </c>
      <c r="B25" t="s">
        <v>528</v>
      </c>
      <c r="C25" t="s">
        <v>529</v>
      </c>
    </row>
    <row r="26">
      <c r="A26" t="s">
        <v>373</v>
      </c>
      <c r="B26" t="s">
        <v>374</v>
      </c>
      <c r="C26" t="s">
        <v>530</v>
      </c>
    </row>
    <row r="27">
      <c r="A27" t="s">
        <v>376</v>
      </c>
      <c r="B27" t="s">
        <v>377</v>
      </c>
      <c r="C27" t="s">
        <v>531</v>
      </c>
    </row>
    <row r="28">
      <c r="A28" t="s">
        <v>370</v>
      </c>
      <c r="B28" t="s">
        <v>371</v>
      </c>
      <c r="C28" t="s">
        <v>532</v>
      </c>
    </row>
    <row r="29">
      <c r="A29" t="s">
        <v>379</v>
      </c>
      <c r="B29" t="s">
        <v>533</v>
      </c>
      <c r="C29" t="s">
        <v>534</v>
      </c>
    </row>
    <row r="30">
      <c r="A30" t="s">
        <v>382</v>
      </c>
      <c r="B30" t="s">
        <v>383</v>
      </c>
      <c r="C30" t="s">
        <v>535</v>
      </c>
    </row>
    <row r="31">
      <c r="A31" t="s">
        <v>385</v>
      </c>
      <c r="B31" t="s">
        <v>536</v>
      </c>
      <c r="C31" t="s">
        <v>537</v>
      </c>
    </row>
    <row r="32">
      <c r="A32" t="s">
        <v>333</v>
      </c>
      <c r="B32" t="s">
        <v>538</v>
      </c>
      <c r="C32" t="s">
        <v>539</v>
      </c>
    </row>
    <row r="33">
      <c r="A33" t="s">
        <v>336</v>
      </c>
      <c r="B33" t="s">
        <v>540</v>
      </c>
      <c r="C33" t="s">
        <v>541</v>
      </c>
    </row>
    <row r="34">
      <c r="A34" t="s">
        <v>339</v>
      </c>
      <c r="B34" t="s">
        <v>542</v>
      </c>
      <c r="C34" t="s">
        <v>543</v>
      </c>
    </row>
    <row r="35">
      <c r="A35" t="s">
        <v>343</v>
      </c>
      <c r="B35" t="s">
        <v>342</v>
      </c>
      <c r="C35" t="s">
        <v>544</v>
      </c>
    </row>
    <row r="36">
      <c r="A36" t="s">
        <v>389</v>
      </c>
      <c r="B36" t="s">
        <v>545</v>
      </c>
      <c r="C36" t="s">
        <v>546</v>
      </c>
    </row>
    <row r="37">
      <c r="A37" t="s">
        <v>396</v>
      </c>
      <c r="B37" t="s">
        <v>397</v>
      </c>
      <c r="C37" t="s">
        <v>547</v>
      </c>
    </row>
    <row r="38">
      <c r="A38" t="s">
        <v>453</v>
      </c>
      <c r="B38" t="s">
        <v>548</v>
      </c>
      <c r="C38" t="s">
        <v>549</v>
      </c>
    </row>
    <row r="39">
      <c r="A39" t="s">
        <v>408</v>
      </c>
      <c r="B39" t="s">
        <v>550</v>
      </c>
      <c r="C39" t="s">
        <v>551</v>
      </c>
    </row>
    <row r="40">
      <c r="A40" t="s">
        <v>182</v>
      </c>
      <c r="B40" t="s">
        <v>413</v>
      </c>
      <c r="C40" t="s">
        <v>552</v>
      </c>
    </row>
    <row r="41">
      <c r="A41" t="s">
        <v>415</v>
      </c>
      <c r="B41" t="s">
        <v>416</v>
      </c>
      <c r="C41" t="s">
        <v>553</v>
      </c>
    </row>
    <row r="42">
      <c r="A42" t="s">
        <v>418</v>
      </c>
      <c r="B42" t="s">
        <v>554</v>
      </c>
      <c r="C42" t="s">
        <v>555</v>
      </c>
    </row>
    <row r="43">
      <c r="A43" t="s">
        <v>424</v>
      </c>
      <c r="B43" t="s">
        <v>425</v>
      </c>
      <c r="C43" t="s">
        <v>556</v>
      </c>
    </row>
    <row r="44">
      <c r="A44" t="s">
        <v>428</v>
      </c>
      <c r="B44" t="s">
        <v>557</v>
      </c>
      <c r="C44" t="s">
        <v>558</v>
      </c>
    </row>
    <row r="45">
      <c r="A45" t="s">
        <v>458</v>
      </c>
      <c r="B45" t="s">
        <v>559</v>
      </c>
      <c r="C45" t="s">
        <v>560</v>
      </c>
    </row>
    <row r="46">
      <c r="A46" t="s">
        <v>440</v>
      </c>
      <c r="B46" t="s">
        <v>441</v>
      </c>
      <c r="C46" t="s">
        <v>561</v>
      </c>
    </row>
    <row r="47">
      <c r="A47" t="s">
        <v>443</v>
      </c>
      <c r="B47" t="s">
        <v>562</v>
      </c>
      <c r="C47" t="s">
        <v>563</v>
      </c>
    </row>
    <row r="48">
      <c r="A48" t="s">
        <v>449</v>
      </c>
      <c r="B48" t="s">
        <v>564</v>
      </c>
      <c r="C48" t="s">
        <v>565</v>
      </c>
    </row>
    <row r="49">
      <c r="A49" t="s">
        <v>566</v>
      </c>
      <c r="B49" t="s">
        <v>567</v>
      </c>
      <c r="C49" t="s">
        <v>568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569</v>
      </c>
    </row>
    <row r="2">
      <c r="A2" t="s">
        <v>315</v>
      </c>
      <c r="B2" t="s">
        <v>317</v>
      </c>
      <c r="C2" t="s">
        <v>319</v>
      </c>
      <c r="D2" t="s">
        <v>570</v>
      </c>
      <c r="E2" t="s">
        <v>571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IFERROR(INDEX('1_Source_V001_Compensation'!$B$2:$B$72, MATCH($A3, '1_Source_V001_Compensation'!$A$2:$A$72,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IFERROR(INDEX('1_Source_V001_Compensation'!$B$2:$B$72, MATCH($A4, '1_Source_V001_Compensation'!$A$2:$A$72,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IFERROR(INDEX('1_Source_V001_Compensation'!$B$2:$B$72, MATCH($A5, '1_Source_V001_Compensation'!$A$2:$A$72,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IFERROR(INDEX('1_Source_V001_Compensation'!$B$2:$B$72, MATCH($A6, '1_Source_V001_Compensation'!$A$2:$A$72,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IFERROR(INDEX('1_Source_V001_Compensation'!$B$2:$B$72, MATCH($A7, '1_Source_V001_Compensation'!$A$2:$A$72,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IFERROR(INDEX('1_Source_V001_Compensation'!$B$2:$B$72, MATCH($A8, '1_Source_V001_Compensation'!$A$2:$A$72,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IFERROR(INDEX('1_Source_V001_Compensation'!$B$2:$B$72, MATCH($A9, '1_Source_V001_Compensation'!$A$2:$A$72,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IFERROR(INDEX('1_Source_V001_Compensation'!$B$2:$B$72, MATCH($A10, '1_Source_V001_Compensation'!$A$2:$A$72,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IFERROR(INDEX('1_Source_V001_Compensation'!$B$2:$B$72, MATCH($A11, '1_Source_V001_Compensation'!$A$2:$A$72,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IFERROR(INDEX('1_Source_V001_Compensation'!$B$2:$B$72, MATCH($A12, '1_Source_V001_Compensation'!$A$2:$A$72,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IFERROR(INDEX('1_Source_V001_Compensation'!$B$2:$B$72, MATCH($A13, '1_Source_V001_Compensation'!$A$2:$A$72,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IFERROR(INDEX('1_Source_V001_Compensation'!$B$2:$B$72, MATCH($A14, '1_Source_V001_Compensation'!$A$2:$A$72,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IFERROR(INDEX('1_Source_V001_Compensation'!$B$2:$B$72, MATCH($A15, '1_Source_V001_Compensation'!$A$2:$A$72,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IFERROR(INDEX('1_Source_V001_Compensation'!$B$2:$B$72, MATCH($A16, '1_Source_V001_Compensation'!$A$2:$A$72,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IFERROR(INDEX('1_Source_V001_Compensation'!$B$2:$B$72, MATCH($A17, '1_Source_V001_Compensation'!$A$2:$A$72,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IFERROR(INDEX('1_Source_V001_Compensation'!$B$2:$B$72, MATCH($A18, '1_Source_V001_Compensation'!$A$2:$A$72,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IFERROR(INDEX('1_Source_V001_Compensation'!$B$2:$B$72, MATCH($A19, '1_Source_V001_Compensation'!$A$2:$A$72,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IFERROR(INDEX('1_Source_V001_Compensation'!$B$2:$B$72, MATCH($A20, '1_Source_V001_Compensation'!$A$2:$A$72,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IFERROR(INDEX('1_Source_V001_Compensation'!$B$2:$B$72, MATCH($A21, '1_Source_V001_Compensation'!$A$2:$A$72,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IFERROR(INDEX('1_Source_V001_Compensation'!$B$2:$B$72, MATCH($A22, '1_Source_V001_Compensation'!$A$2:$A$72,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IFERROR(INDEX('1_Source_V001_Compensation'!$B$2:$B$72, MATCH($A23, '1_Source_V001_Compensation'!$A$2:$A$72,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IFERROR(INDEX('1_Source_V001_Compensation'!$B$2:$B$72, MATCH($A24, '1_Source_V001_Compensation'!$A$2:$A$72,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IFERROR(INDEX('1_Source_V001_Compensation'!$B$2:$B$72, MATCH($A25, '1_Source_V001_Compensation'!$A$2:$A$72,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IFERROR(INDEX('1_Source_V001_Compensation'!$B$2:$B$72, MATCH($A26, '1_Source_V001_Compensation'!$A$2:$A$72,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IFERROR(INDEX('1_Source_V001_Compensation'!$B$2:$B$72, MATCH($A27, '1_Source_V001_Compensation'!$A$2:$A$72,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IFERROR(INDEX('1_Source_V001_Compensation'!$B$2:$B$72, MATCH($A28, '1_Source_V001_Compensation'!$A$2:$A$72,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IFERROR(INDEX('1_Source_V001_Compensation'!$B$2:$B$72, MATCH($A29, '1_Source_V001_Compensation'!$A$2:$A$72,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IFERROR(INDEX('1_Source_V001_Compensation'!$B$2:$B$72, MATCH($A30, '1_Source_V001_Compensation'!$A$2:$A$72,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IFERROR(INDEX('1_Source_V001_Compensation'!$B$2:$B$72, MATCH($A31, '1_Source_V001_Compensation'!$A$2:$A$72,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IFERROR(INDEX('1_Source_V001_Compensation'!$B$2:$B$72, MATCH($A32, '1_Source_V001_Compensation'!$A$2:$A$72,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IFERROR(INDEX('1_Source_V001_Compensation'!$B$2:$B$72, MATCH($A33, '1_Source_V001_Compensation'!$A$2:$A$72,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IFERROR(INDEX('1_Source_V001_Compensation'!$B$2:$B$72, MATCH($A34, '1_Source_V001_Compensation'!$A$2:$A$72,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IFERROR(INDEX('1_Source_V001_Compensation'!$B$2:$B$72, MATCH($A35, '1_Source_V001_Compensation'!$A$2:$A$72,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IFERROR(INDEX('1_Source_V001_Compensation'!$B$2:$B$72, MATCH($A36, '1_Source_V001_Compensation'!$A$2:$A$72,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IFERROR(INDEX('1_Source_V001_Compensation'!$B$2:$B$72, MATCH($A37, '1_Source_V001_Compensation'!$A$2:$A$72,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IFERROR(INDEX('1_Source_V001_Compensation'!$B$2:$B$72, MATCH($A38, '1_Source_V001_Compensation'!$A$2:$A$72,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IFERROR(INDEX('1_Source_V001_Compensation'!$B$2:$B$72, MATCH($A39, '1_Source_V001_Compensation'!$A$2:$A$72,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IFERROR(INDEX('1_Source_V001_Compensation'!$B$2:$B$72, MATCH($A40, '1_Source_V001_Compensation'!$A$2:$A$72,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IFERROR(INDEX('1_Source_V001_Compensation'!$B$2:$B$72, MATCH($A41, '1_Source_V001_Compensation'!$A$2:$A$72,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IFERROR(INDEX('1_Source_V001_Compensation'!$B$2:$B$72, MATCH($A42, '1_Source_V001_Compensation'!$A$2:$A$72,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IFERROR(INDEX('1_Source_V001_Compensation'!$B$2:$B$72, MATCH($A43, '1_Source_V001_Compensation'!$A$2:$A$72,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IFERROR(INDEX('1_Source_V001_Compensation'!$B$2:$B$72, MATCH($A44, '1_Source_V001_Compensation'!$A$2:$A$72,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IFERROR(INDEX('1_Source_V001_Compensation'!$B$2:$B$72, MATCH($A45, '1_Source_V001_Compensation'!$A$2:$A$72,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IFERROR(INDEX('1_Source_V001_Compensation'!$B$2:$B$72, MATCH($A46, '1_Source_V001_Compensation'!$A$2:$A$72,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IFERROR(INDEX('1_Source_V001_Compensation'!$B$2:$B$72, MATCH($A47, '1_Source_V001_Compensation'!$A$2:$A$72,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IFERROR(INDEX('1_Source_V001_Compensation'!$B$2:$B$72, MATCH($A48, '1_Source_V001_Compensation'!$A$2:$A$72,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IFERROR(INDEX('1_Source_V001_Compensation'!$B$2:$B$72, MATCH($A49, '1_Source_V001_Compensation'!$A$2:$A$72,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IFERROR(INDEX('1_Source_V001_Compensation'!$B$2:$B$72, MATCH($A50, '1_Source_V001_Compensation'!$A$2:$A$72,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IFERROR(INDEX('1_Source_V001_Compensation'!$B$2:$B$72, MATCH($A51, '1_Source_V001_Compensation'!$A$2:$A$72,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IFERROR(INDEX('1_Source_V001_Compensation'!$B$2:$B$72, MATCH($A52, '1_Source_V001_Compensation'!$A$2:$A$72,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IFERROR(INDEX('1_Source_V001_Compensation'!$B$2:$B$72, MATCH($A53, '1_Source_V001_Compensation'!$A$2:$A$72,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IFERROR(INDEX('1_Source_V001_Compensation'!$B$2:$B$72, MATCH($A54, '1_Source_V001_Compensation'!$A$2:$A$72,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IFERROR(INDEX('1_Source_V001_Compensation'!$B$2:$B$72, MATCH($A55, '1_Source_V001_Compensation'!$A$2:$A$72,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IFERROR(INDEX('1_Source_V001_Compensation'!$B$2:$B$72, MATCH($A56, '1_Source_V001_Compensation'!$A$2:$A$72,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IFERROR(INDEX('1_Source_V001_Compensation'!$B$2:$B$72, MATCH($A57, '1_Source_V001_Compensation'!$A$2:$A$72,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IFERROR(INDEX('1_Source_V001_Compensation'!$B$2:$B$72, MATCH($A58, '1_Source_V001_Compensation'!$A$2:$A$72,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IFERROR(INDEX('1_Source_V001_Compensation'!$B$2:$B$72, MATCH($A59, '1_Source_V001_Compensation'!$A$2:$A$72,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IFERROR(INDEX('1_Source_V001_Compensation'!$B$2:$B$72, MATCH($A60, '1_Source_V001_Compensation'!$A$2:$A$72,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IFERROR(INDEX('1_Source_V001_Compensation'!$B$2:$B$72, MATCH($A61, '1_Source_V001_Compensation'!$A$2:$A$72,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IFERROR(INDEX('1_Source_V001_Compensation'!$B$2:$B$72, MATCH($A62, '1_Source_V001_Compensation'!$A$2:$A$72,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IFERROR(INDEX('1_Source_V001_Compensation'!$B$2:$B$72, MATCH($A63, '1_Source_V001_Compensation'!$A$2:$A$72,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IFERROR(INDEX('1_Source_V001_Compensation'!$B$2:$B$72, MATCH($A64, '1_Source_V001_Compensation'!$A$2:$A$72,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IFERROR(INDEX('1_Source_V001_Compensation'!$B$2:$B$72, MATCH($A65, '1_Source_V001_Compensation'!$A$2:$A$72,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IFERROR(INDEX('1_Source_V001_Compensation'!$B$2:$B$72, MATCH($A66, '1_Source_V001_Compensation'!$A$2:$A$72,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IFERROR(INDEX('1_Source_V001_Compensation'!$B$2:$B$72, MATCH($A67, '1_Source_V001_Compensation'!$A$2:$A$72,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IFERROR(INDEX('1_Source_V001_Compensation'!$B$2:$B$72, MATCH($A68, '1_Source_V001_Compensation'!$A$2:$A$72,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IFERROR(INDEX('1_Source_V001_Compensation'!$B$2:$B$72, MATCH($A69, '1_Source_V001_Compensation'!$A$2:$A$72,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IFERROR(INDEX('1_Source_V001_Compensation'!$B$2:$B$72, MATCH($A70, '1_Source_V001_Compensation'!$A$2:$A$72,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IFERROR(INDEX('1_Source_V001_Compensation'!$B$2:$B$72, MATCH($A71, '1_Source_V001_Compensation'!$A$2:$A$72,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IFERROR(INDEX('1_Source_V001_Compensation'!$B$2:$B$72, MATCH($A72, '1_Source_V001_Compensation'!$A$2:$A$72,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IFERROR(INDEX('1_Source_V001_Compensation'!$B$2:$B$72, MATCH($A73, '1_Source_V001_Compensation'!$A$2:$A$72,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IFERROR(INDEX('1_Source_V001_Compensation'!$B$2:$B$72, MATCH($A74, '1_Source_V001_Compensation'!$A$2:$A$72,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IFERROR(INDEX('1_Source_V001_Compensation'!$B$2:$B$72, MATCH($A75, '1_Source_V001_Compensation'!$A$2:$A$72,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IFERROR(INDEX('1_Source_V001_Compensation'!$B$2:$B$72, MATCH($A76, '1_Source_V001_Compensation'!$A$2:$A$72,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IFERROR(INDEX('1_Source_V001_Compensation'!$B$2:$B$72, MATCH($A77, '1_Source_V001_Compensation'!$A$2:$A$72,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IFERROR(INDEX('1_Source_V001_Compensation'!$B$2:$B$72, MATCH($A78, '1_Source_V001_Compensation'!$A$2:$A$72,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IFERROR(INDEX('1_Source_V001_Compensation'!$B$2:$B$72, MATCH($A79, '1_Source_V001_Compensation'!$A$2:$A$72,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IFERROR(INDEX('1_Source_V001_Compensation'!$B$2:$B$72, MATCH($A80, '1_Source_V001_Compensation'!$A$2:$A$72,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IFERROR(INDEX('1_Source_V001_Compensation'!$B$2:$B$72, MATCH($A81, '1_Source_V001_Compensation'!$A$2:$A$72, 0)), 0)</f>
      </c>
      <c r="E81" t="str">
        <f>C81*D81</f>
      </c>
    </row>
    <row r="83">
      <c r="A83" t="s">
        <v>572</v>
      </c>
    </row>
    <row r="84">
      <c r="A84" t="s">
        <v>317</v>
      </c>
      <c r="B84" t="s">
        <v>573</v>
      </c>
      <c r="C84" t="s">
        <v>574</v>
      </c>
    </row>
    <row r="85">
      <c r="A85" t="s">
        <v>323</v>
      </c>
      <c r="B85" t="str">
        <f>SUMIFS('5_Calc_ISIC_aggregation'!$E$3:$E$81, '5_Calc_ISIC_aggregation'!$B$3:$B$81, $A85)</f>
      </c>
      <c r="C85" t="str">
        <f>B85/Keys!$C$2</f>
      </c>
    </row>
    <row r="86">
      <c r="A86" t="s">
        <v>465</v>
      </c>
      <c r="B86" t="str">
        <f>SUMIFS('5_Calc_ISIC_aggregation'!$E$3:$E$81, '5_Calc_ISIC_aggregation'!$B$3:$B$81, $A86)</f>
      </c>
      <c r="C86" t="str">
        <f>B86/Keys!$C$2</f>
      </c>
    </row>
    <row r="87">
      <c r="A87" t="s">
        <v>327</v>
      </c>
      <c r="B87" t="str">
        <f>SUMIFS('5_Calc_ISIC_aggregation'!$E$3:$E$81, '5_Calc_ISIC_aggregation'!$B$3:$B$81, $A87)</f>
      </c>
      <c r="C87" t="str">
        <f>B87/Keys!$C$2</f>
      </c>
    </row>
    <row r="88">
      <c r="A88" t="s">
        <v>468</v>
      </c>
      <c r="B88" t="str">
        <f>SUMIFS('5_Calc_ISIC_aggregation'!$E$3:$E$81, '5_Calc_ISIC_aggregation'!$B$3:$B$81, $A88)</f>
      </c>
      <c r="C88" t="str">
        <f>B88/Keys!$C$2</f>
      </c>
    </row>
    <row r="89">
      <c r="A89" t="s">
        <v>330</v>
      </c>
      <c r="B89" t="str">
        <f>SUMIFS('5_Calc_ISIC_aggregation'!$E$3:$E$81, '5_Calc_ISIC_aggregation'!$B$3:$B$81, $A89)</f>
      </c>
      <c r="C89" t="str">
        <f>B89/Keys!$C$2</f>
      </c>
    </row>
    <row r="90">
      <c r="A90" t="s">
        <v>345</v>
      </c>
      <c r="B90" t="str">
        <f>SUMIFS('5_Calc_ISIC_aggregation'!$E$3:$E$81, '5_Calc_ISIC_aggregation'!$B$3:$B$81, $A90)</f>
      </c>
      <c r="C90" t="str">
        <f>B90/Keys!$C$2</f>
      </c>
    </row>
    <row r="91">
      <c r="A91" t="s">
        <v>348</v>
      </c>
      <c r="B91" t="str">
        <f>SUMIFS('5_Calc_ISIC_aggregation'!$E$3:$E$81, '5_Calc_ISIC_aggregation'!$B$3:$B$81, $A91)</f>
      </c>
      <c r="C91" t="str">
        <f>B91/Keys!$C$2</f>
      </c>
    </row>
    <row r="92">
      <c r="A92" t="s">
        <v>352</v>
      </c>
      <c r="B92" t="str">
        <f>SUMIFS('5_Calc_ISIC_aggregation'!$E$3:$E$81, '5_Calc_ISIC_aggregation'!$B$3:$B$81, $A92)</f>
      </c>
      <c r="C92" t="str">
        <f>B92/Keys!$C$2</f>
      </c>
    </row>
    <row r="93">
      <c r="A93" t="s">
        <v>355</v>
      </c>
      <c r="B93" t="str">
        <f>SUMIFS('5_Calc_ISIC_aggregation'!$E$3:$E$81, '5_Calc_ISIC_aggregation'!$B$3:$B$81, $A93)</f>
      </c>
      <c r="C93" t="str">
        <f>B93/Keys!$C$2</f>
      </c>
    </row>
    <row r="94">
      <c r="A94" t="s">
        <v>359</v>
      </c>
      <c r="B94" t="str">
        <f>SUMIFS('5_Calc_ISIC_aggregation'!$E$3:$E$81, '5_Calc_ISIC_aggregation'!$B$3:$B$81, $A94)</f>
      </c>
      <c r="C94" t="str">
        <f>B94/Keys!$C$2</f>
      </c>
    </row>
    <row r="95">
      <c r="A95" t="s">
        <v>481</v>
      </c>
      <c r="B95" t="str">
        <f>SUMIFS('5_Calc_ISIC_aggregation'!$E$3:$E$81, '5_Calc_ISIC_aggregation'!$B$3:$B$81, $A95)</f>
      </c>
      <c r="C95" t="str">
        <f>B95/Keys!$C$2</f>
      </c>
    </row>
    <row r="96">
      <c r="A96" t="s">
        <v>484</v>
      </c>
      <c r="B96" t="str">
        <f>SUMIFS('5_Calc_ISIC_aggregation'!$E$3:$E$81, '5_Calc_ISIC_aggregation'!$B$3:$B$81, $A96)</f>
      </c>
      <c r="C96" t="str">
        <f>B96/Keys!$C$2</f>
      </c>
    </row>
    <row r="97">
      <c r="A97" t="s">
        <v>131</v>
      </c>
      <c r="B97" t="str">
        <f>SUMIFS('5_Calc_ISIC_aggregation'!$E$3:$E$81, '5_Calc_ISIC_aggregation'!$B$3:$B$81, $A97)</f>
      </c>
      <c r="C97" t="str">
        <f>B97/Keys!$C$2</f>
      </c>
    </row>
    <row r="98">
      <c r="A98" t="s">
        <v>471</v>
      </c>
      <c r="B98" t="str">
        <f>SUMIFS('5_Calc_ISIC_aggregation'!$E$3:$E$81, '5_Calc_ISIC_aggregation'!$B$3:$B$81, $A98)</f>
      </c>
      <c r="C98" t="str">
        <f>B98/Keys!$C$2</f>
      </c>
    </row>
    <row r="99">
      <c r="A99" t="s">
        <v>474</v>
      </c>
      <c r="B99" t="str">
        <f>SUMIFS('5_Calc_ISIC_aggregation'!$E$3:$E$81, '5_Calc_ISIC_aggregation'!$B$3:$B$81, $A99)</f>
      </c>
      <c r="C99" t="str">
        <f>B99/Keys!$C$2</f>
      </c>
    </row>
    <row r="100">
      <c r="A100" t="s">
        <v>362</v>
      </c>
      <c r="B100" t="str">
        <f>SUMIFS('5_Calc_ISIC_aggregation'!$E$3:$E$81, '5_Calc_ISIC_aggregation'!$B$3:$B$81, $A100)</f>
      </c>
      <c r="C100" t="str">
        <f>B100/Keys!$C$2</f>
      </c>
    </row>
    <row r="101">
      <c r="A101" t="s">
        <v>478</v>
      </c>
      <c r="B101" t="str">
        <f>SUMIFS('5_Calc_ISIC_aggregation'!$E$3:$E$81, '5_Calc_ISIC_aggregation'!$B$3:$B$81, $A101)</f>
      </c>
      <c r="C101" t="str">
        <f>B101/Keys!$C$2</f>
      </c>
    </row>
    <row r="102">
      <c r="A102" t="s">
        <v>368</v>
      </c>
      <c r="B102" t="str">
        <f>SUMIFS('5_Calc_ISIC_aggregation'!$E$3:$E$81, '5_Calc_ISIC_aggregation'!$B$3:$B$81, $A102)</f>
      </c>
      <c r="C102" t="str">
        <f>B102/Keys!$C$2</f>
      </c>
    </row>
    <row r="103">
      <c r="A103" t="s">
        <v>373</v>
      </c>
      <c r="B103" t="str">
        <f>SUMIFS('5_Calc_ISIC_aggregation'!$E$3:$E$81, '5_Calc_ISIC_aggregation'!$B$3:$B$81, $A103)</f>
      </c>
      <c r="C103" t="str">
        <f>B103/Keys!$C$2</f>
      </c>
    </row>
    <row r="104">
      <c r="A104" t="s">
        <v>376</v>
      </c>
      <c r="B104" t="str">
        <f>SUMIFS('5_Calc_ISIC_aggregation'!$E$3:$E$81, '5_Calc_ISIC_aggregation'!$B$3:$B$81, $A104)</f>
      </c>
      <c r="C104" t="str">
        <f>B104/Keys!$C$2</f>
      </c>
    </row>
    <row r="105">
      <c r="A105" t="s">
        <v>370</v>
      </c>
      <c r="B105" t="str">
        <f>SUMIFS('5_Calc_ISIC_aggregation'!$E$3:$E$81, '5_Calc_ISIC_aggregation'!$B$3:$B$81, $A105)</f>
      </c>
      <c r="C105" t="str">
        <f>B105/Keys!$C$2</f>
      </c>
    </row>
    <row r="106">
      <c r="A106" t="s">
        <v>379</v>
      </c>
      <c r="B106" t="str">
        <f>SUMIFS('5_Calc_ISIC_aggregation'!$E$3:$E$81, '5_Calc_ISIC_aggregation'!$B$3:$B$81, $A106)</f>
      </c>
      <c r="C106" t="str">
        <f>B106/Keys!$C$2</f>
      </c>
    </row>
    <row r="107">
      <c r="A107" t="s">
        <v>382</v>
      </c>
      <c r="B107" t="str">
        <f>SUMIFS('5_Calc_ISIC_aggregation'!$E$3:$E$81, '5_Calc_ISIC_aggregation'!$B$3:$B$81, $A107)</f>
      </c>
      <c r="C107" t="str">
        <f>B107/Keys!$C$2</f>
      </c>
    </row>
    <row r="108">
      <c r="A108" t="s">
        <v>385</v>
      </c>
      <c r="B108" t="str">
        <f>SUMIFS('5_Calc_ISIC_aggregation'!$E$3:$E$81, '5_Calc_ISIC_aggregation'!$B$3:$B$81, $A108)</f>
      </c>
      <c r="C108" t="str">
        <f>B108/Keys!$C$2</f>
      </c>
    </row>
    <row r="109">
      <c r="A109" t="s">
        <v>333</v>
      </c>
      <c r="B109" t="str">
        <f>SUMIFS('5_Calc_ISIC_aggregation'!$E$3:$E$81, '5_Calc_ISIC_aggregation'!$B$3:$B$81, $A109)</f>
      </c>
      <c r="C109" t="str">
        <f>B109/Keys!$C$2</f>
      </c>
    </row>
    <row r="110">
      <c r="A110" t="s">
        <v>336</v>
      </c>
      <c r="B110" t="str">
        <f>SUMIFS('5_Calc_ISIC_aggregation'!$E$3:$E$81, '5_Calc_ISIC_aggregation'!$B$3:$B$81, $A110)</f>
      </c>
      <c r="C110" t="str">
        <f>B110/Keys!$C$2</f>
      </c>
    </row>
    <row r="111">
      <c r="A111" t="s">
        <v>339</v>
      </c>
      <c r="B111" t="str">
        <f>SUMIFS('5_Calc_ISIC_aggregation'!$E$3:$E$81, '5_Calc_ISIC_aggregation'!$B$3:$B$81, $A111)</f>
      </c>
      <c r="C111" t="str">
        <f>B111/Keys!$C$2</f>
      </c>
    </row>
    <row r="112">
      <c r="A112" t="s">
        <v>343</v>
      </c>
      <c r="B112" t="str">
        <f>SUMIFS('5_Calc_ISIC_aggregation'!$E$3:$E$81, '5_Calc_ISIC_aggregation'!$B$3:$B$81, $A112)</f>
      </c>
      <c r="C112" t="str">
        <f>B112/Keys!$C$2</f>
      </c>
    </row>
    <row r="113">
      <c r="A113" t="s">
        <v>389</v>
      </c>
      <c r="B113" t="str">
        <f>SUMIFS('5_Calc_ISIC_aggregation'!$E$3:$E$81, '5_Calc_ISIC_aggregation'!$B$3:$B$81, $A113)</f>
      </c>
      <c r="C113" t="str">
        <f>B113/Keys!$C$2</f>
      </c>
    </row>
    <row r="114">
      <c r="A114" t="s">
        <v>396</v>
      </c>
      <c r="B114" t="str">
        <f>SUMIFS('5_Calc_ISIC_aggregation'!$E$3:$E$81, '5_Calc_ISIC_aggregation'!$B$3:$B$81, $A114)</f>
      </c>
      <c r="C114" t="str">
        <f>B114/Keys!$C$2</f>
      </c>
    </row>
    <row r="115">
      <c r="A115" t="s">
        <v>453</v>
      </c>
      <c r="B115" t="str">
        <f>SUMIFS('5_Calc_ISIC_aggregation'!$E$3:$E$81, '5_Calc_ISIC_aggregation'!$B$3:$B$81, $A115)</f>
      </c>
      <c r="C115" t="str">
        <f>B115/Keys!$C$2</f>
      </c>
    </row>
    <row r="116">
      <c r="A116" t="s">
        <v>408</v>
      </c>
      <c r="B116" t="str">
        <f>SUMIFS('5_Calc_ISIC_aggregation'!$E$3:$E$81, '5_Calc_ISIC_aggregation'!$B$3:$B$81, $A116)</f>
      </c>
      <c r="C116" t="str">
        <f>B116/Keys!$C$2</f>
      </c>
    </row>
    <row r="117">
      <c r="A117" t="s">
        <v>182</v>
      </c>
      <c r="B117" t="str">
        <f>SUMIFS('5_Calc_ISIC_aggregation'!$E$3:$E$81, '5_Calc_ISIC_aggregation'!$B$3:$B$81, $A117)</f>
      </c>
      <c r="C117" t="str">
        <f>B117/Keys!$C$2</f>
      </c>
    </row>
    <row r="118">
      <c r="A118" t="s">
        <v>415</v>
      </c>
      <c r="B118" t="str">
        <f>SUMIFS('5_Calc_ISIC_aggregation'!$E$3:$E$81, '5_Calc_ISIC_aggregation'!$B$3:$B$81, $A118)</f>
      </c>
      <c r="C118" t="str">
        <f>B118/Keys!$C$2</f>
      </c>
    </row>
    <row r="119">
      <c r="A119" t="s">
        <v>418</v>
      </c>
      <c r="B119" t="str">
        <f>SUMIFS('5_Calc_ISIC_aggregation'!$E$3:$E$81, '5_Calc_ISIC_aggregation'!$B$3:$B$81, $A119)</f>
      </c>
      <c r="C119" t="str">
        <f>B119/Keys!$C$2</f>
      </c>
    </row>
    <row r="120">
      <c r="A120" t="s">
        <v>424</v>
      </c>
      <c r="B120" t="str">
        <f>SUMIFS('5_Calc_ISIC_aggregation'!$E$3:$E$81, '5_Calc_ISIC_aggregation'!$B$3:$B$81, $A120)</f>
      </c>
      <c r="C120" t="str">
        <f>B120/Keys!$C$2</f>
      </c>
    </row>
    <row r="121">
      <c r="A121" t="s">
        <v>428</v>
      </c>
      <c r="B121" t="str">
        <f>SUMIFS('5_Calc_ISIC_aggregation'!$E$3:$E$81, '5_Calc_ISIC_aggregation'!$B$3:$B$81, $A121)</f>
      </c>
      <c r="C121" t="str">
        <f>B121/Keys!$C$2</f>
      </c>
    </row>
    <row r="122">
      <c r="A122" t="s">
        <v>458</v>
      </c>
      <c r="B122" t="str">
        <f>SUMIFS('5_Calc_ISIC_aggregation'!$E$3:$E$81, '5_Calc_ISIC_aggregation'!$B$3:$B$81, $A122)</f>
      </c>
      <c r="C122" t="str">
        <f>B122/Keys!$C$2</f>
      </c>
    </row>
    <row r="123">
      <c r="A123" t="s">
        <v>440</v>
      </c>
      <c r="B123" t="str">
        <f>SUMIFS('5_Calc_ISIC_aggregation'!$E$3:$E$81, '5_Calc_ISIC_aggregation'!$B$3:$B$81, $A123)</f>
      </c>
      <c r="C123" t="str">
        <f>B123/Keys!$C$2</f>
      </c>
    </row>
    <row r="124">
      <c r="A124" t="s">
        <v>443</v>
      </c>
      <c r="B124" t="str">
        <f>SUMIFS('5_Calc_ISIC_aggregation'!$E$3:$E$81, '5_Calc_ISIC_aggregation'!$B$3:$B$81, $A124)</f>
      </c>
      <c r="C124" t="str">
        <f>B124/Keys!$C$2</f>
      </c>
    </row>
    <row r="125">
      <c r="A125" t="s">
        <v>449</v>
      </c>
      <c r="B125" t="str">
        <f>SUMIFS('5_Calc_ISIC_aggregation'!$E$3:$E$81, '5_Calc_ISIC_aggregation'!$B$3:$B$81, $A125)</f>
      </c>
      <c r="C125" t="str">
        <f>B125/Keys!$C$2</f>
      </c>
    </row>
    <row r="126">
      <c r="A126" t="s">
        <v>566</v>
      </c>
      <c r="B126" t="str">
        <f>SUMIFS('5_Calc_ISIC_aggregation'!$E$3:$E$81, '5_Calc_ISIC_aggregation'!$B$3:$B$81,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575</v>
      </c>
      <c r="B1" t="s">
        <v>323</v>
      </c>
      <c r="C1" t="s">
        <v>465</v>
      </c>
      <c r="D1" t="s">
        <v>327</v>
      </c>
      <c r="E1" t="s">
        <v>468</v>
      </c>
      <c r="F1" t="s">
        <v>330</v>
      </c>
      <c r="G1" t="s">
        <v>345</v>
      </c>
      <c r="H1" t="s">
        <v>348</v>
      </c>
      <c r="I1" t="s">
        <v>352</v>
      </c>
      <c r="J1" t="s">
        <v>355</v>
      </c>
      <c r="K1" t="s">
        <v>359</v>
      </c>
      <c r="L1" t="s">
        <v>481</v>
      </c>
      <c r="M1" t="s">
        <v>484</v>
      </c>
      <c r="N1" t="s">
        <v>131</v>
      </c>
      <c r="O1" t="s">
        <v>471</v>
      </c>
      <c r="P1" t="s">
        <v>474</v>
      </c>
      <c r="Q1" t="s">
        <v>362</v>
      </c>
      <c r="R1" t="s">
        <v>478</v>
      </c>
      <c r="S1" t="s">
        <v>368</v>
      </c>
      <c r="T1" t="s">
        <v>373</v>
      </c>
      <c r="U1" t="s">
        <v>376</v>
      </c>
      <c r="V1" t="s">
        <v>370</v>
      </c>
      <c r="W1" t="s">
        <v>379</v>
      </c>
      <c r="X1" t="s">
        <v>382</v>
      </c>
      <c r="Y1" t="s">
        <v>385</v>
      </c>
      <c r="Z1" t="s">
        <v>333</v>
      </c>
      <c r="AA1" t="s">
        <v>336</v>
      </c>
      <c r="AB1" t="s">
        <v>339</v>
      </c>
      <c r="AC1" t="s">
        <v>343</v>
      </c>
      <c r="AD1" t="s">
        <v>389</v>
      </c>
      <c r="AE1" t="s">
        <v>396</v>
      </c>
      <c r="AF1" t="s">
        <v>453</v>
      </c>
      <c r="AG1" t="s">
        <v>408</v>
      </c>
      <c r="AH1" t="s">
        <v>182</v>
      </c>
      <c r="AI1" t="s">
        <v>415</v>
      </c>
      <c r="AJ1" t="s">
        <v>418</v>
      </c>
      <c r="AK1" t="s">
        <v>424</v>
      </c>
      <c r="AL1" t="s">
        <v>428</v>
      </c>
      <c r="AM1" t="s">
        <v>458</v>
      </c>
      <c r="AN1" t="s">
        <v>440</v>
      </c>
      <c r="AO1" t="s">
        <v>443</v>
      </c>
      <c r="AP1" t="s">
        <v>449</v>
      </c>
      <c r="AQ1" t="s">
        <v>566</v>
      </c>
    </row>
    <row r="2">
      <c r="A2" t="s">
        <v>576</v>
      </c>
      <c r="B2" t="str">
        <f>INDEX('5_Calc_ISIC_aggregation'!$C$85:$C$126, MATCH(B$1, '5_Calc_ISIC_aggregation'!$A$85:$A$126, 0))</f>
      </c>
      <c r="C2" t="str">
        <f>INDEX('5_Calc_ISIC_aggregation'!$C$85:$C$126, MATCH(C$1, '5_Calc_ISIC_aggregation'!$A$85:$A$126, 0))</f>
      </c>
      <c r="D2" t="str">
        <f>INDEX('5_Calc_ISIC_aggregation'!$C$85:$C$126, MATCH(D$1, '5_Calc_ISIC_aggregation'!$A$85:$A$126, 0))</f>
      </c>
      <c r="E2" t="str">
        <f>INDEX('5_Calc_ISIC_aggregation'!$C$85:$C$126, MATCH(E$1, '5_Calc_ISIC_aggregation'!$A$85:$A$126, 0))</f>
      </c>
      <c r="F2" t="str">
        <f>INDEX('5_Calc_ISIC_aggregation'!$C$85:$C$126, MATCH(F$1, '5_Calc_ISIC_aggregation'!$A$85:$A$126, 0))</f>
      </c>
      <c r="G2" t="str">
        <f>INDEX('5_Calc_ISIC_aggregation'!$C$85:$C$126, MATCH(G$1, '5_Calc_ISIC_aggregation'!$A$85:$A$126, 0))</f>
      </c>
      <c r="H2" t="str">
        <f>INDEX('5_Calc_ISIC_aggregation'!$C$85:$C$126, MATCH(H$1, '5_Calc_ISIC_aggregation'!$A$85:$A$126, 0))</f>
      </c>
      <c r="I2" t="str">
        <f>INDEX('5_Calc_ISIC_aggregation'!$C$85:$C$126, MATCH(I$1, '5_Calc_ISIC_aggregation'!$A$85:$A$126, 0))</f>
      </c>
      <c r="J2" t="str">
        <f>INDEX('5_Calc_ISIC_aggregation'!$C$85:$C$126, MATCH(J$1, '5_Calc_ISIC_aggregation'!$A$85:$A$126, 0))</f>
      </c>
      <c r="K2" t="str">
        <f>INDEX('5_Calc_ISIC_aggregation'!$C$85:$C$126, MATCH(K$1, '5_Calc_ISIC_aggregation'!$A$85:$A$126, 0))</f>
      </c>
      <c r="L2" t="str">
        <f>INDEX('5_Calc_ISIC_aggregation'!$C$85:$C$126, MATCH(L$1, '5_Calc_ISIC_aggregation'!$A$85:$A$126, 0))</f>
      </c>
      <c r="M2" t="str">
        <f>INDEX('5_Calc_ISIC_aggregation'!$C$85:$C$126, MATCH(M$1, '5_Calc_ISIC_aggregation'!$A$85:$A$126, 0))</f>
      </c>
      <c r="N2" t="str">
        <f>INDEX('5_Calc_ISIC_aggregation'!$C$85:$C$126, MATCH(N$1, '5_Calc_ISIC_aggregation'!$A$85:$A$126, 0))</f>
      </c>
      <c r="O2" t="str">
        <f>INDEX('5_Calc_ISIC_aggregation'!$C$85:$C$126, MATCH(O$1, '5_Calc_ISIC_aggregation'!$A$85:$A$126, 0))</f>
      </c>
      <c r="P2" t="str">
        <f>INDEX('5_Calc_ISIC_aggregation'!$C$85:$C$126, MATCH(P$1, '5_Calc_ISIC_aggregation'!$A$85:$A$126, 0))</f>
      </c>
      <c r="Q2" t="str">
        <f>INDEX('5_Calc_ISIC_aggregation'!$C$85:$C$126, MATCH(Q$1, '5_Calc_ISIC_aggregation'!$A$85:$A$126, 0))</f>
      </c>
      <c r="R2" t="str">
        <f>INDEX('5_Calc_ISIC_aggregation'!$C$85:$C$126, MATCH(R$1, '5_Calc_ISIC_aggregation'!$A$85:$A$126, 0))</f>
      </c>
      <c r="S2" t="str">
        <f>INDEX('5_Calc_ISIC_aggregation'!$C$85:$C$126, MATCH(S$1, '5_Calc_ISIC_aggregation'!$A$85:$A$126, 0))</f>
      </c>
      <c r="T2" t="str">
        <f>INDEX('5_Calc_ISIC_aggregation'!$C$85:$C$126, MATCH(T$1, '5_Calc_ISIC_aggregation'!$A$85:$A$126, 0))</f>
      </c>
      <c r="U2" t="str">
        <f>INDEX('5_Calc_ISIC_aggregation'!$C$85:$C$126, MATCH(U$1, '5_Calc_ISIC_aggregation'!$A$85:$A$126, 0))</f>
      </c>
      <c r="V2" t="str">
        <f>INDEX('5_Calc_ISIC_aggregation'!$C$85:$C$126, MATCH(V$1, '5_Calc_ISIC_aggregation'!$A$85:$A$126, 0))</f>
      </c>
      <c r="W2" t="str">
        <f>INDEX('5_Calc_ISIC_aggregation'!$C$85:$C$126, MATCH(W$1, '5_Calc_ISIC_aggregation'!$A$85:$A$126, 0))</f>
      </c>
      <c r="X2" t="str">
        <f>INDEX('5_Calc_ISIC_aggregation'!$C$85:$C$126, MATCH(X$1, '5_Calc_ISIC_aggregation'!$A$85:$A$126, 0))</f>
      </c>
      <c r="Y2" t="str">
        <f>INDEX('5_Calc_ISIC_aggregation'!$C$85:$C$126, MATCH(Y$1, '5_Calc_ISIC_aggregation'!$A$85:$A$126, 0))</f>
      </c>
      <c r="Z2" t="str">
        <f>INDEX('5_Calc_ISIC_aggregation'!$C$85:$C$126, MATCH(Z$1, '5_Calc_ISIC_aggregation'!$A$85:$A$126, 0))</f>
      </c>
      <c r="AA2" t="str">
        <f>INDEX('5_Calc_ISIC_aggregation'!$C$85:$C$126, MATCH(AA$1, '5_Calc_ISIC_aggregation'!$A$85:$A$126, 0))</f>
      </c>
      <c r="AB2" t="str">
        <f>INDEX('5_Calc_ISIC_aggregation'!$C$85:$C$126, MATCH(AB$1, '5_Calc_ISIC_aggregation'!$A$85:$A$126, 0))</f>
      </c>
      <c r="AC2" t="str">
        <f>INDEX('5_Calc_ISIC_aggregation'!$C$85:$C$126, MATCH(AC$1, '5_Calc_ISIC_aggregation'!$A$85:$A$126, 0))</f>
      </c>
      <c r="AD2" t="str">
        <f>INDEX('5_Calc_ISIC_aggregation'!$C$85:$C$126, MATCH(AD$1, '5_Calc_ISIC_aggregation'!$A$85:$A$126, 0))</f>
      </c>
      <c r="AE2" t="str">
        <f>INDEX('5_Calc_ISIC_aggregation'!$C$85:$C$126, MATCH(AE$1, '5_Calc_ISIC_aggregation'!$A$85:$A$126, 0))</f>
      </c>
      <c r="AF2" t="str">
        <f>INDEX('5_Calc_ISIC_aggregation'!$C$85:$C$126, MATCH(AF$1, '5_Calc_ISIC_aggregation'!$A$85:$A$126, 0))</f>
      </c>
      <c r="AG2" t="str">
        <f>INDEX('5_Calc_ISIC_aggregation'!$C$85:$C$126, MATCH(AG$1, '5_Calc_ISIC_aggregation'!$A$85:$A$126, 0))</f>
      </c>
      <c r="AH2" t="str">
        <f>INDEX('5_Calc_ISIC_aggregation'!$C$85:$C$126, MATCH(AH$1, '5_Calc_ISIC_aggregation'!$A$85:$A$126, 0))</f>
      </c>
      <c r="AI2" t="str">
        <f>INDEX('5_Calc_ISIC_aggregation'!$C$85:$C$126, MATCH(AI$1, '5_Calc_ISIC_aggregation'!$A$85:$A$126, 0))</f>
      </c>
      <c r="AJ2" t="str">
        <f>INDEX('5_Calc_ISIC_aggregation'!$C$85:$C$126, MATCH(AJ$1, '5_Calc_ISIC_aggregation'!$A$85:$A$126, 0))</f>
      </c>
      <c r="AK2" t="str">
        <f>INDEX('5_Calc_ISIC_aggregation'!$C$85:$C$126, MATCH(AK$1, '5_Calc_ISIC_aggregation'!$A$85:$A$126, 0))</f>
      </c>
      <c r="AL2" t="str">
        <f>INDEX('5_Calc_ISIC_aggregation'!$C$85:$C$126, MATCH(AL$1, '5_Calc_ISIC_aggregation'!$A$85:$A$126, 0))</f>
      </c>
      <c r="AM2" t="str">
        <f>INDEX('5_Calc_ISIC_aggregation'!$C$85:$C$126, MATCH(AM$1, '5_Calc_ISIC_aggregation'!$A$85:$A$126, 0))</f>
      </c>
      <c r="AN2" t="str">
        <f>INDEX('5_Calc_ISIC_aggregation'!$C$85:$C$126, MATCH(AN$1, '5_Calc_ISIC_aggregation'!$A$85:$A$126, 0))</f>
      </c>
      <c r="AO2" t="str">
        <f>INDEX('5_Calc_ISIC_aggregation'!$C$85:$C$126, MATCH(AO$1, '5_Calc_ISIC_aggregation'!$A$85:$A$126, 0))</f>
      </c>
      <c r="AP2" t="str">
        <f>INDEX('5_Calc_ISIC_aggregation'!$C$85:$C$126, MATCH(AP$1, '5_Calc_ISIC_aggregation'!$A$85:$A$126, 0))</f>
      </c>
      <c r="AQ2" t="str">
        <f>INDEX('5_Calc_ISIC_aggregation'!$C$85:$C$126, MATCH(AQ$1, '5_Calc_ISIC_aggregation'!$A$85:$A$126,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2026-07-17T19:27:26Z</dcterms:created>
</coreProperties>
</file>