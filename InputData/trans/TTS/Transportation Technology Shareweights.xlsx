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FAFF9375-BA58-4CA1-B0D8-8B1C7036AED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I92" i="10"/>
  <c r="G92" i="10"/>
  <c r="J92" i="10" s="1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E18" i="6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I19" i="7" l="1"/>
  <c r="J19" i="7"/>
  <c r="K39" i="7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AI22" i="7" s="1"/>
  <c r="P32" i="7"/>
  <c r="AH32" i="7" s="1"/>
  <c r="Q11" i="7"/>
  <c r="AI11" i="7" s="1"/>
  <c r="P31" i="7"/>
  <c r="AH31" i="7" s="1"/>
  <c r="Q50" i="7"/>
  <c r="AI50" i="7" s="1"/>
  <c r="O48" i="7"/>
  <c r="O31" i="7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31" i="7" l="1"/>
  <c r="T31" i="7" s="1"/>
  <c r="R36" i="7"/>
  <c r="W36" i="7" s="1"/>
  <c r="R44" i="7"/>
  <c r="S44" i="7" s="1"/>
  <c r="R29" i="7"/>
  <c r="T29" i="7" s="1"/>
  <c r="R20" i="7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M42" i="10"/>
  <c r="E6" i="15" s="1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M90" i="10"/>
  <c r="M67" i="10"/>
  <c r="E3" i="19" s="1"/>
  <c r="M27" i="10"/>
  <c r="E5" i="13" s="1"/>
  <c r="R53" i="7"/>
  <c r="Y53" i="7" s="1"/>
  <c r="M23" i="10"/>
  <c r="E8" i="12" s="1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AI7" i="7"/>
  <c r="AG28" i="7"/>
  <c r="R28" i="7"/>
  <c r="S28" i="7" s="1"/>
  <c r="AI45" i="7"/>
  <c r="AI13" i="7"/>
  <c r="AG13" i="7"/>
  <c r="R13" i="7"/>
  <c r="S13" i="7" s="1"/>
  <c r="AG37" i="7"/>
  <c r="R37" i="7"/>
  <c r="U37" i="7" s="1"/>
  <c r="AI38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AH23" i="7"/>
  <c r="AH27" i="7"/>
  <c r="AH51" i="7"/>
  <c r="R45" i="7"/>
  <c r="U45" i="7" s="1"/>
  <c r="AG45" i="7"/>
  <c r="AI39" i="7"/>
  <c r="AH37" i="7"/>
  <c r="AI27" i="7"/>
  <c r="X31" i="7" l="1"/>
  <c r="Y31" i="7"/>
  <c r="U44" i="7"/>
  <c r="AA44" i="7" s="1"/>
  <c r="X44" i="7"/>
  <c r="X36" i="7"/>
  <c r="Y44" i="7"/>
  <c r="Y36" i="7"/>
  <c r="V44" i="7"/>
  <c r="V36" i="7"/>
  <c r="U36" i="7"/>
  <c r="S36" i="7"/>
  <c r="T44" i="7"/>
  <c r="U31" i="7"/>
  <c r="V31" i="7"/>
  <c r="W44" i="7"/>
  <c r="S31" i="7"/>
  <c r="T36" i="7"/>
  <c r="AA36" i="7" s="1"/>
  <c r="W31" i="7"/>
  <c r="Z31" i="7" s="1"/>
  <c r="X10" i="7"/>
  <c r="S10" i="7"/>
  <c r="W10" i="7"/>
  <c r="S29" i="7"/>
  <c r="W29" i="7"/>
  <c r="X29" i="7"/>
  <c r="V29" i="7"/>
  <c r="Y29" i="7"/>
  <c r="Y34" i="7"/>
  <c r="V34" i="7"/>
  <c r="X34" i="7"/>
  <c r="W34" i="7"/>
  <c r="U6" i="7"/>
  <c r="S37" i="7"/>
  <c r="V10" i="7"/>
  <c r="Y10" i="7"/>
  <c r="T10" i="7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U51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AJ17" i="7"/>
  <c r="S51" i="7"/>
  <c r="Z29" i="7" l="1"/>
  <c r="AA31" i="7"/>
  <c r="AB44" i="7"/>
  <c r="AB31" i="7"/>
  <c r="Z44" i="7"/>
  <c r="Z10" i="7"/>
  <c r="AB29" i="7"/>
  <c r="AA29" i="7"/>
  <c r="AC29" i="7" s="1"/>
  <c r="AD29" i="7" s="1"/>
  <c r="AA34" i="7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34" i="7" l="1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V64" i="10"/>
  <c r="N7" i="18" s="1"/>
  <c r="V28" i="10"/>
  <c r="N6" i="13" s="1"/>
  <c r="V35" i="10"/>
  <c r="N6" i="14" s="1"/>
  <c r="V51" i="10"/>
  <c r="N8" i="16" s="1"/>
  <c r="V19" i="10"/>
  <c r="N4" i="12" s="1"/>
  <c r="N1" i="13" l="1"/>
  <c r="V34" i="10"/>
  <c r="N5" i="14" s="1"/>
  <c r="N1" i="20"/>
  <c r="V78" i="10"/>
  <c r="N7" i="20" s="1"/>
  <c r="V73" i="10"/>
  <c r="N2" i="20" s="1"/>
  <c r="V48" i="10"/>
  <c r="N5" i="16" s="1"/>
  <c r="V63" i="10"/>
  <c r="N6" i="18" s="1"/>
  <c r="V20" i="10"/>
  <c r="N5" i="12" s="1"/>
  <c r="V82" i="10"/>
  <c r="N4" i="21" s="1"/>
  <c r="V72" i="10"/>
  <c r="N8" i="19" s="1"/>
  <c r="W9" i="10"/>
  <c r="O1" i="20" s="1"/>
  <c r="V22" i="10"/>
  <c r="N7" i="12" s="1"/>
  <c r="V13" i="10"/>
  <c r="N5" i="11" s="1"/>
  <c r="V77" i="10"/>
  <c r="N6" i="20" s="1"/>
  <c r="V42" i="10"/>
  <c r="N6" i="15" s="1"/>
  <c r="V65" i="10"/>
  <c r="N8" i="18" s="1"/>
  <c r="V27" i="10"/>
  <c r="N5" i="13" s="1"/>
  <c r="V26" i="10"/>
  <c r="N4" i="13" s="1"/>
  <c r="V60" i="10"/>
  <c r="N3" i="18" s="1"/>
  <c r="V59" i="10"/>
  <c r="N2" i="18" s="1"/>
  <c r="V79" i="10"/>
  <c r="N8" i="20" s="1"/>
  <c r="V33" i="10"/>
  <c r="N4" i="14" s="1"/>
  <c r="V25" i="10"/>
  <c r="N3" i="13" s="1"/>
  <c r="V30" i="10"/>
  <c r="N8" i="13" s="1"/>
  <c r="V47" i="10"/>
  <c r="N4" i="16" s="1"/>
  <c r="V88" i="10"/>
  <c r="V75" i="10"/>
  <c r="N4" i="20" s="1"/>
  <c r="N1" i="12"/>
  <c r="V57" i="10"/>
  <c r="N7" i="17" s="1"/>
  <c r="V39" i="10"/>
  <c r="N3" i="15" s="1"/>
  <c r="V56" i="10"/>
  <c r="N6" i="17" s="1"/>
  <c r="V83" i="10"/>
  <c r="N5" i="21" s="1"/>
  <c r="V16" i="10"/>
  <c r="N8" i="11" s="1"/>
  <c r="N1" i="16"/>
  <c r="V15" i="10"/>
  <c r="N7" i="11" s="1"/>
  <c r="V23" i="10"/>
  <c r="N8" i="12" s="1"/>
  <c r="V74" i="10"/>
  <c r="N3" i="20" s="1"/>
  <c r="V86" i="10"/>
  <c r="N8" i="21" s="1"/>
  <c r="V91" i="10"/>
  <c r="N1" i="14"/>
  <c r="V85" i="10"/>
  <c r="N7" i="21" s="1"/>
  <c r="V41" i="10"/>
  <c r="N5" i="15" s="1"/>
  <c r="V54" i="10"/>
  <c r="N4" i="17" s="1"/>
  <c r="V11" i="10"/>
  <c r="N3" i="11" s="1"/>
  <c r="V45" i="10"/>
  <c r="N2" i="16" s="1"/>
  <c r="V76" i="10"/>
  <c r="N5" i="20" s="1"/>
  <c r="V52" i="10"/>
  <c r="N2" i="17" s="1"/>
  <c r="V69" i="10"/>
  <c r="N5" i="19" s="1"/>
  <c r="V87" i="10"/>
  <c r="V38" i="10"/>
  <c r="N2" i="15" s="1"/>
  <c r="V46" i="10"/>
  <c r="N3" i="16" s="1"/>
  <c r="V18" i="10"/>
  <c r="N3" i="12" s="1"/>
  <c r="V58" i="10"/>
  <c r="N8" i="17" s="1"/>
  <c r="V68" i="10"/>
  <c r="N4" i="19" s="1"/>
  <c r="V70" i="10"/>
  <c r="N6" i="19" s="1"/>
  <c r="V53" i="10"/>
  <c r="N3" i="17" s="1"/>
  <c r="V89" i="10"/>
  <c r="V62" i="10"/>
  <c r="N5" i="18" s="1"/>
  <c r="V50" i="10"/>
  <c r="N7" i="16" s="1"/>
  <c r="N1" i="22"/>
  <c r="V37" i="10"/>
  <c r="N8" i="14" s="1"/>
  <c r="V40" i="10"/>
  <c r="N4" i="15" s="1"/>
  <c r="N1" i="11"/>
  <c r="V81" i="10"/>
  <c r="N3" i="21" s="1"/>
  <c r="V49" i="10"/>
  <c r="N6" i="16" s="1"/>
  <c r="V43" i="10"/>
  <c r="N7" i="15" s="1"/>
  <c r="N1" i="15"/>
  <c r="V55" i="10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53" i="10"/>
  <c r="O3" i="17" s="1"/>
  <c r="W91" i="10"/>
  <c r="W50" i="10"/>
  <c r="O7" i="16" s="1"/>
  <c r="W61" i="10"/>
  <c r="O4" i="18" s="1"/>
  <c r="W46" i="10"/>
  <c r="O3" i="16" s="1"/>
  <c r="W72" i="10"/>
  <c r="O8" i="19" s="1"/>
  <c r="W25" i="10"/>
  <c r="O3" i="13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W20" i="10" l="1"/>
  <c r="O5" i="12" s="1"/>
  <c r="W66" i="10"/>
  <c r="O2" i="19" s="1"/>
  <c r="W57" i="10"/>
  <c r="O7" i="17" s="1"/>
  <c r="W90" i="10"/>
  <c r="W62" i="10"/>
  <c r="O5" i="18" s="1"/>
  <c r="W37" i="10"/>
  <c r="O8" i="14" s="1"/>
  <c r="W40" i="10"/>
  <c r="O4" i="15" s="1"/>
  <c r="W93" i="10"/>
  <c r="W23" i="10"/>
  <c r="O8" i="12" s="1"/>
  <c r="W34" i="10"/>
  <c r="O5" i="14" s="1"/>
  <c r="W87" i="10"/>
  <c r="W65" i="10"/>
  <c r="O8" i="18" s="1"/>
  <c r="W28" i="10"/>
  <c r="O6" i="13" s="1"/>
  <c r="O1" i="13"/>
  <c r="W44" i="10"/>
  <c r="O8" i="15" s="1"/>
  <c r="W81" i="10"/>
  <c r="O3" i="21" s="1"/>
  <c r="W19" i="10"/>
  <c r="O4" i="12" s="1"/>
  <c r="W75" i="10"/>
  <c r="O4" i="20" s="1"/>
  <c r="W36" i="10"/>
  <c r="O7" i="14" s="1"/>
  <c r="W42" i="10"/>
  <c r="O6" i="15" s="1"/>
  <c r="W51" i="10"/>
  <c r="O8" i="16" s="1"/>
  <c r="W60" i="10"/>
  <c r="O3" i="18" s="1"/>
  <c r="O1" i="22"/>
  <c r="W49" i="10"/>
  <c r="O6" i="16" s="1"/>
  <c r="W27" i="10"/>
  <c r="O5" i="13" s="1"/>
  <c r="O1" i="18"/>
  <c r="W13" i="10"/>
  <c r="O5" i="11" s="1"/>
  <c r="W77" i="10"/>
  <c r="O6" i="20" s="1"/>
  <c r="W11" i="10"/>
  <c r="O3" i="11" s="1"/>
  <c r="W26" i="10"/>
  <c r="O4" i="13" s="1"/>
  <c r="W73" i="10"/>
  <c r="O2" i="20" s="1"/>
  <c r="W55" i="10"/>
  <c r="O5" i="17" s="1"/>
  <c r="W35" i="10"/>
  <c r="O6" i="14" s="1"/>
  <c r="W88" i="10"/>
  <c r="W89" i="10"/>
  <c r="W22" i="10"/>
  <c r="O7" i="12" s="1"/>
  <c r="W74" i="10"/>
  <c r="O3" i="20" s="1"/>
  <c r="W48" i="10"/>
  <c r="O5" i="16" s="1"/>
  <c r="W70" i="10"/>
  <c r="O6" i="19" s="1"/>
  <c r="W92" i="10"/>
  <c r="W52" i="10"/>
  <c r="O2" i="17" s="1"/>
  <c r="W78" i="10"/>
  <c r="O7" i="20" s="1"/>
  <c r="W54" i="10"/>
  <c r="O4" i="17" s="1"/>
  <c r="W56" i="10"/>
  <c r="O6" i="17" s="1"/>
  <c r="W58" i="10"/>
  <c r="O8" i="17" s="1"/>
  <c r="O1" i="15"/>
  <c r="W38" i="10"/>
  <c r="O2" i="15" s="1"/>
  <c r="W32" i="10"/>
  <c r="O3" i="14" s="1"/>
  <c r="W47" i="10"/>
  <c r="O4" i="16" s="1"/>
  <c r="P1" i="14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" i="10" s="1"/>
  <c r="Z2" i="11" s="1"/>
  <c r="AH101" i="10"/>
  <c r="AH24" i="10" s="1"/>
  <c r="Z2" i="13" s="1"/>
  <c r="AH97" i="10"/>
  <c r="AH84" i="10" s="1"/>
  <c r="Z6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99" i="10"/>
  <c r="AH14" i="10" s="1"/>
  <c r="Z6" i="11" s="1"/>
  <c r="AH80" i="10" l="1"/>
  <c r="Z2" i="21" s="1"/>
  <c r="M10" i="10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<sst xmlns="http://schemas.openxmlformats.org/spreadsheetml/2006/main" count="1579" uniqueCount="340">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</sst>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112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SD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2300</v>
      </c>
      <c r="C2">
        <f>SUMIFS(SYVbT_all!$D$4:$D$291,SYVbT_all!$A$4:$A$291,About!$B$2,SYVbT_all!$B$4:$B$291,$A2)</f>
        <v>0</v>
      </c>
      <c r="D2">
        <f>SUMIFS(SYVbT_all!$E$4:$E$291,SYVbT_all!$A$4:$A$291,About!$B$2,SYVbT_all!$B$4:$B$291,$A2)</f>
        <v>1143730</v>
      </c>
      <c r="E2">
        <f>SUMIFS(SYVbT_all!$F$4:$F$291,SYVbT_all!$A$4:$A$291,About!$B$2,SYVbT_all!$B$4:$B$291,$A2)</f>
        <v>12185</v>
      </c>
      <c r="F2">
        <f>SUMIFS(SYVbT_all!$G$4:$G$291,SYVbT_all!$A$4:$A$291,About!$B$2,SYVbT_all!$B$4:$B$291,$A2)</f>
        <v>1700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6</v>
      </c>
      <c r="C3">
        <f>SUMIFS(SYVbT_all!$D$4:$D$291,SYVbT_all!$A$4:$A$291,About!$B$2,SYVbT_all!$B$4:$B$291,$A3)</f>
        <v>2747</v>
      </c>
      <c r="D3">
        <f>SUMIFS(SYVbT_all!$E$4:$E$291,SYVbT_all!$A$4:$A$291,About!$B$2,SYVbT_all!$B$4:$B$291,$A3)</f>
        <v>2162</v>
      </c>
      <c r="E3">
        <f>SUMIFS(SYVbT_all!$F$4:$F$291,SYVbT_all!$A$4:$A$291,About!$B$2,SYVbT_all!$B$4:$B$291,$A3)</f>
        <v>17178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1006</v>
      </c>
      <c r="H3">
        <f>SUMIFS(SYVbT_all!$I$4:$I$291,SYVbT_all!$A$4:$A$291,About!$B$2,SYVbT_all!$B$4:$B$291,$A3)</f>
        <v>4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49171</v>
      </c>
      <c r="E6">
        <f>SUMIFS(SYVbT_all!$F$4:$F$291,SYVbT_all!$A$4:$A$291,About!$B$2,SYVbT_all!$B$4:$B$291,$A6)</f>
        <v>11987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147254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9.3934897959797564E-2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9.3934897959797564E-2</v>
      </c>
      <c r="K10" s="2">
        <f t="shared" ref="K10:AI10" si="1">IF($G10="s-curve",$E10+($F10-$E10)*K$98,TREND($E10:$F10,$E$9:$F$9,K$9))</f>
        <v>0.105245445349345</v>
      </c>
      <c r="L10" s="2">
        <f t="shared" si="1"/>
        <v>0.1200792902081546</v>
      </c>
      <c r="M10" s="2">
        <f t="shared" si="1"/>
        <v>0.13935146980245222</v>
      </c>
      <c r="N10" s="2">
        <f t="shared" si="1"/>
        <v>0.16408566291316468</v>
      </c>
      <c r="O10" s="2">
        <f t="shared" si="1"/>
        <v>0.19533646880590455</v>
      </c>
      <c r="P10" s="2">
        <f t="shared" si="1"/>
        <v>0.23404853771810871</v>
      </c>
      <c r="Q10" s="2">
        <f t="shared" si="1"/>
        <v>0.2808468225238776</v>
      </c>
      <c r="R10" s="2">
        <f t="shared" si="1"/>
        <v>0.33577936631959926</v>
      </c>
      <c r="S10" s="2">
        <f t="shared" si="1"/>
        <v>0.39807556907040542</v>
      </c>
      <c r="T10" s="2">
        <f t="shared" si="1"/>
        <v>0.46602060635839526</v>
      </c>
      <c r="U10" s="2">
        <f t="shared" si="1"/>
        <v>0.53704617067945259</v>
      </c>
      <c r="V10" s="2">
        <f t="shared" si="1"/>
        <v>0.60807173500051004</v>
      </c>
      <c r="W10" s="2">
        <f t="shared" si="1"/>
        <v>0.67601677228849977</v>
      </c>
      <c r="X10" s="2">
        <f t="shared" si="1"/>
        <v>0.73831297503930604</v>
      </c>
      <c r="Y10" s="2">
        <f t="shared" si="1"/>
        <v>0.79324551883502759</v>
      </c>
      <c r="Z10" s="2">
        <f t="shared" si="1"/>
        <v>0.84004380364079656</v>
      </c>
      <c r="AA10" s="2">
        <f t="shared" si="1"/>
        <v>0.87875587255300081</v>
      </c>
      <c r="AB10" s="2">
        <f t="shared" si="1"/>
        <v>0.91000667844574068</v>
      </c>
      <c r="AC10" s="2">
        <f t="shared" si="1"/>
        <v>0.93474087155645302</v>
      </c>
      <c r="AD10" s="2">
        <f t="shared" si="1"/>
        <v>0.95401305115075075</v>
      </c>
      <c r="AE10" s="2">
        <f t="shared" si="1"/>
        <v>0.96884689600956042</v>
      </c>
      <c r="AF10" s="2">
        <f t="shared" si="1"/>
        <v>0.98015744339910771</v>
      </c>
      <c r="AG10" s="2">
        <f t="shared" si="1"/>
        <v>0.98871971857355279</v>
      </c>
      <c r="AH10" s="2">
        <f t="shared" si="1"/>
        <v>0.99516627072585895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1.0021685120951168E-2</v>
      </c>
      <c r="F14" s="2">
        <f>E14/E10*F10</f>
        <v>0.10668756062566084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1.0021685120951168E-2</v>
      </c>
      <c r="K14" s="2">
        <f t="shared" ref="K14:AI14" si="2">IF($G14="s-curve",$E14+($F14-$E14)*K$99,TREND($E14:$F14,$E$9:$F$9,K$9))</f>
        <v>1.0597029806144494E-2</v>
      </c>
      <c r="L14" s="2">
        <f t="shared" si="2"/>
        <v>1.1442772192438094E-2</v>
      </c>
      <c r="M14" s="2">
        <f t="shared" si="2"/>
        <v>1.2677259960180435E-2</v>
      </c>
      <c r="N14" s="2">
        <f t="shared" si="2"/>
        <v>1.4460764707834778E-2</v>
      </c>
      <c r="O14" s="2">
        <f t="shared" si="2"/>
        <v>1.6999580043144179E-2</v>
      </c>
      <c r="P14" s="2">
        <f t="shared" si="2"/>
        <v>2.0538432054780884E-2</v>
      </c>
      <c r="Q14" s="2">
        <f t="shared" si="2"/>
        <v>2.5329425526658171E-2</v>
      </c>
      <c r="R14" s="2">
        <f t="shared" si="2"/>
        <v>3.1565702335303633E-2</v>
      </c>
      <c r="S14" s="2">
        <f t="shared" si="2"/>
        <v>3.9280832937086549E-2</v>
      </c>
      <c r="T14" s="2">
        <f t="shared" si="2"/>
        <v>4.8246931412729434E-2</v>
      </c>
      <c r="U14" s="2">
        <f t="shared" si="2"/>
        <v>5.7939932757929836E-2</v>
      </c>
      <c r="V14" s="2">
        <f t="shared" si="2"/>
        <v>6.763293410313026E-2</v>
      </c>
      <c r="W14" s="2">
        <f t="shared" si="2"/>
        <v>7.6599032578773138E-2</v>
      </c>
      <c r="X14" s="2">
        <f t="shared" si="2"/>
        <v>8.4314163180556054E-2</v>
      </c>
      <c r="Y14" s="2">
        <f t="shared" si="2"/>
        <v>9.0550439989201509E-2</v>
      </c>
      <c r="Z14" s="2">
        <f t="shared" si="2"/>
        <v>9.5341433461078776E-2</v>
      </c>
      <c r="AA14" s="2">
        <f t="shared" si="2"/>
        <v>9.8880285472715504E-2</v>
      </c>
      <c r="AB14" s="2">
        <f t="shared" si="2"/>
        <v>0.10141910080802491</v>
      </c>
      <c r="AC14" s="2">
        <f t="shared" si="2"/>
        <v>0.10320260555567924</v>
      </c>
      <c r="AD14" s="2">
        <f t="shared" si="2"/>
        <v>0.10443709332342159</v>
      </c>
      <c r="AE14" s="2">
        <f t="shared" si="2"/>
        <v>0.10528283570971519</v>
      </c>
      <c r="AF14" s="2">
        <f t="shared" si="2"/>
        <v>0.1058581803949085</v>
      </c>
      <c r="AG14" s="2">
        <f t="shared" si="2"/>
        <v>0.10624770349643986</v>
      </c>
      <c r="AH14" s="2">
        <f t="shared" si="2"/>
        <v>0.10651056422822505</v>
      </c>
      <c r="AI14" s="2">
        <f t="shared" si="2"/>
        <v>0.10668756062566084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9.3934897959797564E-2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9.3934897959797564E-2</v>
      </c>
      <c r="J80" s="2">
        <f>$E80</f>
        <v>9.3934897959797564E-2</v>
      </c>
      <c r="K80" s="2">
        <f t="shared" ref="K80:AI80" si="13">IF($G80="s-curve",$E80+($F80-$E80)*K$98,TREND($E80:$F80,$E$9:$F$9,K$9))</f>
        <v>0.105245445349345</v>
      </c>
      <c r="L80" s="2">
        <f t="shared" si="13"/>
        <v>0.1200792902081546</v>
      </c>
      <c r="M80" s="2">
        <f t="shared" si="13"/>
        <v>0.13935146980245222</v>
      </c>
      <c r="N80" s="2">
        <f t="shared" si="13"/>
        <v>0.16408566291316468</v>
      </c>
      <c r="O80" s="2">
        <f t="shared" si="13"/>
        <v>0.19533646880590455</v>
      </c>
      <c r="P80" s="2">
        <f t="shared" si="13"/>
        <v>0.23404853771810871</v>
      </c>
      <c r="Q80" s="2">
        <f t="shared" si="13"/>
        <v>0.2808468225238776</v>
      </c>
      <c r="R80" s="2">
        <f t="shared" si="13"/>
        <v>0.33577936631959926</v>
      </c>
      <c r="S80" s="2">
        <f t="shared" si="13"/>
        <v>0.39807556907040542</v>
      </c>
      <c r="T80" s="2">
        <f t="shared" si="13"/>
        <v>0.46602060635839526</v>
      </c>
      <c r="U80" s="2">
        <f t="shared" si="13"/>
        <v>0.53704617067945259</v>
      </c>
      <c r="V80" s="2">
        <f t="shared" si="13"/>
        <v>0.60807173500051004</v>
      </c>
      <c r="W80" s="2">
        <f t="shared" si="13"/>
        <v>0.67601677228849977</v>
      </c>
      <c r="X80" s="2">
        <f t="shared" si="13"/>
        <v>0.73831297503930604</v>
      </c>
      <c r="Y80" s="2">
        <f t="shared" si="13"/>
        <v>0.79324551883502759</v>
      </c>
      <c r="Z80" s="2">
        <f t="shared" si="13"/>
        <v>0.84004380364079656</v>
      </c>
      <c r="AA80" s="2">
        <f t="shared" si="13"/>
        <v>0.87875587255300081</v>
      </c>
      <c r="AB80" s="2">
        <f t="shared" si="13"/>
        <v>0.91000667844574068</v>
      </c>
      <c r="AC80" s="2">
        <f t="shared" si="13"/>
        <v>0.93474087155645302</v>
      </c>
      <c r="AD80" s="2">
        <f t="shared" si="13"/>
        <v>0.95401305115075075</v>
      </c>
      <c r="AE80" s="2">
        <f t="shared" si="13"/>
        <v>0.96884689600956042</v>
      </c>
      <c r="AF80" s="2">
        <f t="shared" si="13"/>
        <v>0.98015744339910771</v>
      </c>
      <c r="AG80" s="2">
        <f t="shared" si="13"/>
        <v>0.98871971857355279</v>
      </c>
      <c r="AH80" s="2">
        <f t="shared" si="13"/>
        <v>0.99516627072585895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1.0021685120951168E-2</v>
      </c>
      <c r="F84">
        <f t="shared" si="12"/>
        <v>0.10668756062566084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1.0021685120951168E-2</v>
      </c>
      <c r="J84" s="2">
        <f>$E84</f>
        <v>1.0021685120951168E-2</v>
      </c>
      <c r="K84" s="2">
        <f t="shared" ref="K84:AI84" si="14">IF($G84="s-curve",$E84+($F84-$E84)*K$97,TREND($E84:$F84,$E$9:$F$9,K$9))</f>
        <v>1.0315614393935753E-2</v>
      </c>
      <c r="L84" s="2">
        <f t="shared" si="14"/>
        <v>1.0709732640708644E-2</v>
      </c>
      <c r="M84" s="2">
        <f t="shared" si="14"/>
        <v>1.1236974279229794E-2</v>
      </c>
      <c r="N84" s="2">
        <f t="shared" si="14"/>
        <v>1.1940135446690448E-2</v>
      </c>
      <c r="O84" s="2">
        <f t="shared" si="14"/>
        <v>1.2874070248664975E-2</v>
      </c>
      <c r="P84" s="2">
        <f t="shared" si="14"/>
        <v>1.4107774330963975E-2</v>
      </c>
      <c r="Q84" s="2">
        <f t="shared" si="14"/>
        <v>1.5725783992938051E-2</v>
      </c>
      <c r="R84" s="2">
        <f t="shared" si="14"/>
        <v>1.7827907419984305E-2</v>
      </c>
      <c r="S84" s="2">
        <f t="shared" si="14"/>
        <v>2.052580292955599E-2</v>
      </c>
      <c r="T84" s="2">
        <f t="shared" si="14"/>
        <v>2.3934501507719981E-2</v>
      </c>
      <c r="U84" s="2">
        <f t="shared" si="14"/>
        <v>2.8157041390746592E-2</v>
      </c>
      <c r="V84" s="2">
        <f t="shared" si="14"/>
        <v>3.326158965185233E-2</v>
      </c>
      <c r="W84" s="2">
        <f t="shared" si="14"/>
        <v>3.9253386617795823E-2</v>
      </c>
      <c r="X84" s="2">
        <f t="shared" si="14"/>
        <v>4.6048378672417421E-2</v>
      </c>
      <c r="Y84" s="2">
        <f t="shared" si="14"/>
        <v>5.3459520413586932E-2</v>
      </c>
      <c r="Z84" s="2">
        <f t="shared" si="14"/>
        <v>6.1206672309299451E-2</v>
      </c>
      <c r="AA84" s="2">
        <f t="shared" si="14"/>
        <v>6.8953824205011963E-2</v>
      </c>
      <c r="AB84" s="2">
        <f t="shared" si="14"/>
        <v>7.6364965946181473E-2</v>
      </c>
      <c r="AC84" s="2">
        <f t="shared" si="14"/>
        <v>8.3159958000803072E-2</v>
      </c>
      <c r="AD84" s="2">
        <f t="shared" si="14"/>
        <v>8.9151754966746558E-2</v>
      </c>
      <c r="AE84" s="2">
        <f t="shared" si="14"/>
        <v>9.4256303227852292E-2</v>
      </c>
      <c r="AF84" s="2">
        <f t="shared" si="14"/>
        <v>9.8478843110878914E-2</v>
      </c>
      <c r="AG84" s="2">
        <f t="shared" si="14"/>
        <v>0.1018875416890429</v>
      </c>
      <c r="AH84" s="2">
        <f t="shared" si="14"/>
        <v>0.1045854371986146</v>
      </c>
      <c r="AI84" s="2">
        <f t="shared" si="14"/>
        <v>0.10668756062566084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9.3934897959797564E-2</v>
      </c>
      <c r="C2">
        <f>Data!K10</f>
        <v>0.105245445349345</v>
      </c>
      <c r="D2">
        <f>Data!L10</f>
        <v>0.1200792902081546</v>
      </c>
      <c r="E2">
        <f>Data!M10</f>
        <v>0.13935146980245222</v>
      </c>
      <c r="F2">
        <f>Data!N10</f>
        <v>0.16408566291316468</v>
      </c>
      <c r="G2">
        <f>Data!O10</f>
        <v>0.19533646880590455</v>
      </c>
      <c r="H2">
        <f>Data!P10</f>
        <v>0.23404853771810871</v>
      </c>
      <c r="I2">
        <f>Data!Q10</f>
        <v>0.2808468225238776</v>
      </c>
      <c r="J2">
        <f>Data!R10</f>
        <v>0.33577936631959926</v>
      </c>
      <c r="K2">
        <f>Data!S10</f>
        <v>0.39807556907040542</v>
      </c>
      <c r="L2">
        <f>Data!T10</f>
        <v>0.46602060635839526</v>
      </c>
      <c r="M2">
        <f>Data!U10</f>
        <v>0.53704617067945259</v>
      </c>
      <c r="N2">
        <f>Data!V10</f>
        <v>0.60807173500051004</v>
      </c>
      <c r="O2">
        <f>Data!W10</f>
        <v>0.67601677228849977</v>
      </c>
      <c r="P2">
        <f>Data!X10</f>
        <v>0.73831297503930604</v>
      </c>
      <c r="Q2">
        <f>Data!Y10</f>
        <v>0.79324551883502759</v>
      </c>
      <c r="R2">
        <f>Data!Z10</f>
        <v>0.84004380364079656</v>
      </c>
      <c r="S2">
        <f>Data!AA10</f>
        <v>0.87875587255300081</v>
      </c>
      <c r="T2">
        <f>Data!AB10</f>
        <v>0.91000667844574068</v>
      </c>
      <c r="U2">
        <f>Data!AC10</f>
        <v>0.93474087155645302</v>
      </c>
      <c r="V2">
        <f>Data!AD10</f>
        <v>0.95401305115075075</v>
      </c>
      <c r="W2">
        <f>Data!AE10</f>
        <v>0.96884689600956042</v>
      </c>
      <c r="X2">
        <f>Data!AF10</f>
        <v>0.98015744339910771</v>
      </c>
      <c r="Y2">
        <f>Data!AG10</f>
        <v>0.98871971857355279</v>
      </c>
      <c r="Z2">
        <f>Data!AH10</f>
        <v>0.99516627072585895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1.0021685120951168E-2</v>
      </c>
      <c r="C6">
        <f>Data!K14</f>
        <v>1.0597029806144494E-2</v>
      </c>
      <c r="D6">
        <f>Data!L14</f>
        <v>1.1442772192438094E-2</v>
      </c>
      <c r="E6">
        <f>Data!M14</f>
        <v>1.2677259960180435E-2</v>
      </c>
      <c r="F6">
        <f>Data!N14</f>
        <v>1.4460764707834778E-2</v>
      </c>
      <c r="G6">
        <f>Data!O14</f>
        <v>1.6999580043144179E-2</v>
      </c>
      <c r="H6">
        <f>Data!P14</f>
        <v>2.0538432054780884E-2</v>
      </c>
      <c r="I6">
        <f>Data!Q14</f>
        <v>2.5329425526658171E-2</v>
      </c>
      <c r="J6">
        <f>Data!R14</f>
        <v>3.1565702335303633E-2</v>
      </c>
      <c r="K6">
        <f>Data!S14</f>
        <v>3.9280832937086549E-2</v>
      </c>
      <c r="L6">
        <f>Data!T14</f>
        <v>4.8246931412729434E-2</v>
      </c>
      <c r="M6">
        <f>Data!U14</f>
        <v>5.7939932757929836E-2</v>
      </c>
      <c r="N6">
        <f>Data!V14</f>
        <v>6.763293410313026E-2</v>
      </c>
      <c r="O6">
        <f>Data!W14</f>
        <v>7.6599032578773138E-2</v>
      </c>
      <c r="P6">
        <f>Data!X14</f>
        <v>8.4314163180556054E-2</v>
      </c>
      <c r="Q6">
        <f>Data!Y14</f>
        <v>9.0550439989201509E-2</v>
      </c>
      <c r="R6">
        <f>Data!Z14</f>
        <v>9.5341433461078776E-2</v>
      </c>
      <c r="S6">
        <f>Data!AA14</f>
        <v>9.8880285472715504E-2</v>
      </c>
      <c r="T6">
        <f>Data!AB14</f>
        <v>0.10141910080802491</v>
      </c>
      <c r="U6">
        <f>Data!AC14</f>
        <v>0.10320260555567924</v>
      </c>
      <c r="V6">
        <f>Data!AD14</f>
        <v>0.10443709332342159</v>
      </c>
      <c r="W6">
        <f>Data!AE14</f>
        <v>0.10528283570971519</v>
      </c>
      <c r="X6">
        <f>Data!AF14</f>
        <v>0.1058581803949085</v>
      </c>
      <c r="Y6">
        <f>Data!AG14</f>
        <v>0.10624770349643986</v>
      </c>
      <c r="Z6">
        <f>Data!AH14</f>
        <v>0.10651056422822505</v>
      </c>
      <c r="AA6">
        <f>Data!AI14</f>
        <v>0.10668756062566084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9.3934897959797564E-2</v>
      </c>
      <c r="C2">
        <f>Data!K80</f>
        <v>0.105245445349345</v>
      </c>
      <c r="D2">
        <f>Data!L80</f>
        <v>0.1200792902081546</v>
      </c>
      <c r="E2">
        <f>Data!M80</f>
        <v>0.13935146980245222</v>
      </c>
      <c r="F2">
        <f>Data!N80</f>
        <v>0.16408566291316468</v>
      </c>
      <c r="G2">
        <f>Data!O80</f>
        <v>0.19533646880590455</v>
      </c>
      <c r="H2">
        <f>Data!P80</f>
        <v>0.23404853771810871</v>
      </c>
      <c r="I2">
        <f>Data!Q80</f>
        <v>0.2808468225238776</v>
      </c>
      <c r="J2">
        <f>Data!R80</f>
        <v>0.33577936631959926</v>
      </c>
      <c r="K2">
        <f>Data!S80</f>
        <v>0.39807556907040542</v>
      </c>
      <c r="L2">
        <f>Data!T80</f>
        <v>0.46602060635839526</v>
      </c>
      <c r="M2">
        <f>Data!U80</f>
        <v>0.53704617067945259</v>
      </c>
      <c r="N2">
        <f>Data!V80</f>
        <v>0.60807173500051004</v>
      </c>
      <c r="O2">
        <f>Data!W80</f>
        <v>0.67601677228849977</v>
      </c>
      <c r="P2">
        <f>Data!X80</f>
        <v>0.73831297503930604</v>
      </c>
      <c r="Q2">
        <f>Data!Y80</f>
        <v>0.79324551883502759</v>
      </c>
      <c r="R2">
        <f>Data!Z80</f>
        <v>0.84004380364079656</v>
      </c>
      <c r="S2">
        <f>Data!AA80</f>
        <v>0.87875587255300081</v>
      </c>
      <c r="T2">
        <f>Data!AB80</f>
        <v>0.91000667844574068</v>
      </c>
      <c r="U2">
        <f>Data!AC80</f>
        <v>0.93474087155645302</v>
      </c>
      <c r="V2">
        <f>Data!AD80</f>
        <v>0.95401305115075075</v>
      </c>
      <c r="W2">
        <f>Data!AE80</f>
        <v>0.96884689600956042</v>
      </c>
      <c r="X2">
        <f>Data!AF80</f>
        <v>0.98015744339910771</v>
      </c>
      <c r="Y2">
        <f>Data!AG80</f>
        <v>0.98871971857355279</v>
      </c>
      <c r="Z2">
        <f>Data!AH80</f>
        <v>0.99516627072585895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1.0021685120951168E-2</v>
      </c>
      <c r="C6">
        <f>Data!K84</f>
        <v>1.0315614393935753E-2</v>
      </c>
      <c r="D6">
        <f>Data!L84</f>
        <v>1.0709732640708644E-2</v>
      </c>
      <c r="E6">
        <f>Data!M84</f>
        <v>1.1236974279229794E-2</v>
      </c>
      <c r="F6">
        <f>Data!N84</f>
        <v>1.1940135446690448E-2</v>
      </c>
      <c r="G6">
        <f>Data!O84</f>
        <v>1.2874070248664975E-2</v>
      </c>
      <c r="H6">
        <f>Data!P84</f>
        <v>1.4107774330963975E-2</v>
      </c>
      <c r="I6">
        <f>Data!Q84</f>
        <v>1.5725783992938051E-2</v>
      </c>
      <c r="J6">
        <f>Data!R84</f>
        <v>1.7827907419984305E-2</v>
      </c>
      <c r="K6">
        <f>Data!S84</f>
        <v>2.052580292955599E-2</v>
      </c>
      <c r="L6">
        <f>Data!T84</f>
        <v>2.3934501507719981E-2</v>
      </c>
      <c r="M6">
        <f>Data!U84</f>
        <v>2.8157041390746592E-2</v>
      </c>
      <c r="N6">
        <f>Data!V84</f>
        <v>3.326158965185233E-2</v>
      </c>
      <c r="O6">
        <f>Data!W84</f>
        <v>3.9253386617795823E-2</v>
      </c>
      <c r="P6">
        <f>Data!X84</f>
        <v>4.6048378672417421E-2</v>
      </c>
      <c r="Q6">
        <f>Data!Y84</f>
        <v>5.3459520413586932E-2</v>
      </c>
      <c r="R6">
        <f>Data!Z84</f>
        <v>6.1206672309299451E-2</v>
      </c>
      <c r="S6">
        <f>Data!AA84</f>
        <v>6.8953824205011963E-2</v>
      </c>
      <c r="T6">
        <f>Data!AB84</f>
        <v>7.6364965946181473E-2</v>
      </c>
      <c r="U6">
        <f>Data!AC84</f>
        <v>8.3159958000803072E-2</v>
      </c>
      <c r="V6">
        <f>Data!AD84</f>
        <v>8.9151754966746558E-2</v>
      </c>
      <c r="W6">
        <f>Data!AE84</f>
        <v>9.4256303227852292E-2</v>
      </c>
      <c r="X6">
        <f>Data!AF84</f>
        <v>9.8478843110878914E-2</v>
      </c>
      <c r="Y6">
        <f>Data!AG84</f>
        <v>0.1018875416890429</v>
      </c>
      <c r="Z6">
        <f>Data!AH84</f>
        <v>0.1045854371986146</v>
      </c>
      <c r="AA6">
        <f>Data!AI84</f>
        <v>0.10668756062566084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2026-09-04T21:33:10Z</dcterms:modified>
</cp:coreProperties>
</file>