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SD\trans\BCDTRtSY\"/>
    </mc:Choice>
  </mc:AlternateContent>
  <xr:revisionPtr revIDLastSave="0" documentId="8_{1B6E2D67-FB0A-438C-8259-45AD3EDFF15A}"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<sst xmlns="http://schemas.openxmlformats.org/spreadsheetml/2006/main" count="6428" uniqueCount="3038">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</sst>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2926</v>
      </c>
      <c r="C1" s="77">
        <v>46248</v>
      </c>
      <c r="H1" t="s">
        <v>2981</v>
      </c>
      <c r="I1" t="s">
        <v>2982</v>
      </c>
    </row>
    <row r="2" spans="1:9">
      <c r="B2" t="str">
        <f>VLOOKUP(B1,H2:I52,2)</f>
        <v>SD</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South Dakota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1.0045474335267384</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1.0105134326445573</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1.0134050567523221</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1.0158924361098545</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1.0176465046668368</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1.0226453248935261</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1.0278112548330849</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1.0315863901250046</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1.0359596273474403</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1.0394821674055701</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1.0437036565759177</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1.0483616112935394</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1.0530778757095582</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1.0571855477385721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1.0614965734455877</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1.064790947617094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1.0679585130407447</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1.0707788556329803</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1.073828585967912</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1.0766500698250538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1.0791928131830986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1.08091916823233</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1.0827688967254225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1.0843707921764831</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1.0863764119054928</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1.0163376859812145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1.0268556203719321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1.0339005771417944</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1.0397265644753149</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1.0441476315570317</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1.0508692515937579</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1.0571848447106096</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1.0639939722484781</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1.0703489953912402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1.077040035221779</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1.0829607878706355</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1.0890222272576742</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1.0945897186380114</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1.1001428763631373</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1.1056499181798769</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1.1102255078756047</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1.1147590480571239</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1.1189588621251243</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1.1230406048826502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1.1270110616555398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1.1305897454111875</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1.1340533101387504</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1.137127475163497</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1.1400192186061602</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1.1428353204491517</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1.0297344210249149</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1.0468433278676139</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1.0531805750580063</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1.0643056835531381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1.0795169653934926</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1.097855765654429</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1.1206290203134925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1.1453907518594213</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1.1726182211013487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1.2025259549426783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1.2255782026305253</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1.2488035887088198</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1.2718758282130547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1.2940410686704824</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1.3167542937253804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1.337961504298647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1.3603619191131697</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1.384210494154885</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1.408070819989883</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1.4321622922374708</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1.4553038247137324</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1.4765064399181638</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1.4979774017788021</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1.5184281866499887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1.5394658042807883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1.0620443894774649</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1.1075958060094038</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1.1415592910802583</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1.1706581913650738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1.195099374387421</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1.2197617455677285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1.2423430489226617</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1.2658783246083085</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1.2844541926933133</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1.3030681162646249</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1.3180135991879207</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1.3338857246076328</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1.3485011557827025</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1.3604281478357914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1.3727516427451676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1.3833701064787824</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1.3940469198687873</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1.4031660572284905</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1.4131427690309841</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1.423821051870803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1.4328512317250379</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1.4426519125694957</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1.4500905589350939</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1.4571150285999399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1.4638348031166699</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1.0003741530935386</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0.99369522116800746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0.98111141662235124</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0.97099579528158786</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0.96318744978701387</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0.9585102838401397</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0.95611162737443345</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0.95487183143375431</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0.95484400160619831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0.95609368570608</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0.95434716066986736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0.95260978800385598</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0.95067861796516118</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0.94864716572995578</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0.94668045326195605</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0.94379252442861539</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0.94130908410550063</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0.93910155895864511</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0.93687126564110523</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0.93458482600411208</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0.93179537258740741</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0.92831471026652579</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0.92466132220385755</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0.92059308842271748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0.91677585792561234</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1.0043121658767391</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1.0108092846514514</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1.0143733649392495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1.0177306785748346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1.0200649224564544</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1.0263128573474181</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1.0326224981497945</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1.0374097091305219</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1.0425584860342798</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1.0467996957369576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1.0518531519943526</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1.0573670947449691</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1.0628593507291044</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1.0676239486435335</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1.0726264181005165</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1.0769040407428194</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1.080914204860727</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1.0846898228212067</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1.0888157296533199</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1.0928104396339098</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1.0963294697852561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1.0990894188729063</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1.1017938521626653</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1.104333596630382</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1.1072892980887299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0.99452521736207866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0.9945200941350677</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0.99415469544778234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0.99496167431549642</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1.0005284871890816</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1.0084466433054018</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1.0181976980344916</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1.0266926953230442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1.0371766125410931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1.048431027224322</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1.0600902415013695</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1.0731025360780335</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1.0874514164678148</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1.1022591535643256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1.1176828357222599</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1.1320077237299841</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1.145775404401409</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1.156939920066332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1.1678804413887949</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1.1803096464684413</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1.1933002043107361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1.2070868779437836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1.2195926705762377</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1.2329966651177569</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1.2456621457514909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1.0091464219704083</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1.0225014599928193</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1.0349671578607051</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1.0448247670392494</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1.0570248545500267</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1.0687591424202567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1.0814624504575348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1.0920228786895478</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1.1038970675069746</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1.1156875739421332</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1.1267146576672069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1.1370751181260712</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1.1464396234343694</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1.1552517116316816</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1.1642775634672071</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1.1729000407261685</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1.1810038009848527</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1.1880744491703819</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1.1954990096940674</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1.2049209867483019</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1.2146038223009006</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1.2242260496496571</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1.2316282047100389</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1.2389727529593184</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1.245736570402141</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1.0251909257533152</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1.0425743346702507</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1.0534827294637403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1.0680481089277027</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1.0855448124601297</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1.1067302680644482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1.1311383606654866</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1.1571481564836081</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1.185083633702704</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1.2150795658623974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1.2406787379148072</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1.2666036048510674</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1.2926261581692733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1.3182186862494789</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1.3443938791850865</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1.3696406447415614</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1.3958896082141778</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1.4233253736301659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1.4509629883927122</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1.4789523252223342</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1.5064778747710448</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1.5328416018524913</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1.5595918335201002</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1.5858287053444753</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1.6127007796394774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0.97571071363206741</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1.0055572315847754</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0.98336749887502983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0.97406120550059383</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0.97900448430070786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0.9559667330500049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0.96204992251952171</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0.96829305821612366</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0.96760529029382025</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0.97282547343763848</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0.97718755950544811</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0.98294419133931454</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0.98539425418253479</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0.98942868015055219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0.9924544280983123</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0.99344920590298103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0.99226599679690963</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0.9917184442614394</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0.99369654474917479</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0.99505727618656648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0.99901086449293952</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1.0067754233561892</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1.0118472869084183</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1.0108385195199536</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1.0105077891910359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0.99055831493732227</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1.0080658284745445</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1.0275396196570166</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1.0436115031412674</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1.0605565108244923</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1.0800373395637328</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1.1016355934759072</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1.1236086726984986</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1.1463862855462357</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1.1702645906339946</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1.1901778424538274</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1.2067708811494355</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1.2234062001557007</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1.2388881218596046</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1.2544985383103009</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1.2695753713130797</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1.2857935378379726</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1.3016301927930678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1.3173630514804955</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1.3345451216528388</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1.3519448120022379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1.3695996744421022</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1.3865085566268986</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1.4031484444912314</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1.4213473844756528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1.0045474335267384</v>
      </c>
      <c r="E2">
        <f>'BCDTRtSY-state-adjusted'!E5</f>
        <v>1.0105134326445573</v>
      </c>
      <c r="F2">
        <f>'BCDTRtSY-state-adjusted'!F5</f>
        <v>1.0134050567523221</v>
      </c>
      <c r="G2">
        <f>'BCDTRtSY-state-adjusted'!G5</f>
        <v>1.0158924361098545</v>
      </c>
      <c r="H2">
        <f>'BCDTRtSY-state-adjusted'!H5</f>
        <v>1.0176465046668368</v>
      </c>
      <c r="I2">
        <f>'BCDTRtSY-state-adjusted'!I5</f>
        <v>1.0226453248935261</v>
      </c>
      <c r="J2">
        <f>'BCDTRtSY-state-adjusted'!J5</f>
        <v>1.0278112548330849</v>
      </c>
      <c r="K2">
        <f>'BCDTRtSY-state-adjusted'!K5</f>
        <v>1.0315863901250046</v>
      </c>
      <c r="L2">
        <f>'BCDTRtSY-state-adjusted'!L5</f>
        <v>1.0359596273474403</v>
      </c>
      <c r="M2">
        <f>'BCDTRtSY-state-adjusted'!M5</f>
        <v>1.0394821674055701</v>
      </c>
      <c r="N2">
        <f>'BCDTRtSY-state-adjusted'!N5</f>
        <v>1.0437036565759177</v>
      </c>
      <c r="O2">
        <f>'BCDTRtSY-state-adjusted'!O5</f>
        <v>1.0483616112935394</v>
      </c>
      <c r="P2">
        <f>'BCDTRtSY-state-adjusted'!P5</f>
        <v>1.0530778757095582</v>
      </c>
      <c r="Q2">
        <f>'BCDTRtSY-state-adjusted'!Q5</f>
        <v>1.0571855477385721</v>
      </c>
      <c r="R2">
        <f>'BCDTRtSY-state-adjusted'!R5</f>
        <v>1.0614965734455877</v>
      </c>
      <c r="S2">
        <f>'BCDTRtSY-state-adjusted'!S5</f>
        <v>1.064790947617094</v>
      </c>
      <c r="T2">
        <f>'BCDTRtSY-state-adjusted'!T5</f>
        <v>1.0679585130407447</v>
      </c>
      <c r="U2">
        <f>'BCDTRtSY-state-adjusted'!U5</f>
        <v>1.0707788556329803</v>
      </c>
      <c r="V2">
        <f>'BCDTRtSY-state-adjusted'!V5</f>
        <v>1.073828585967912</v>
      </c>
      <c r="W2">
        <f>'BCDTRtSY-state-adjusted'!W5</f>
        <v>1.0766500698250538</v>
      </c>
      <c r="X2">
        <f>'BCDTRtSY-state-adjusted'!X5</f>
        <v>1.0791928131830986</v>
      </c>
      <c r="Y2">
        <f>'BCDTRtSY-state-adjusted'!Y5</f>
        <v>1.08091916823233</v>
      </c>
      <c r="Z2">
        <f>'BCDTRtSY-state-adjusted'!Z5</f>
        <v>1.0827688967254225</v>
      </c>
      <c r="AA2">
        <f>'BCDTRtSY-state-adjusted'!AA5</f>
        <v>1.0843707921764831</v>
      </c>
      <c r="AB2">
        <f>'BCDTRtSY-state-adjusted'!AB5</f>
        <v>1.0863764119054928</v>
      </c>
    </row>
    <row r="3" spans="1:28">
      <c r="A3" t="s">
        <v>118</v>
      </c>
      <c r="B3">
        <f>'BCDTRtSY-state-adjusted'!B6</f>
        <v>1</v>
      </c>
      <c r="C3">
        <f>'BCDTRtSY-state-adjusted'!C6</f>
        <v>1</v>
      </c>
      <c r="D3">
        <f>'BCDTRtSY-state-adjusted'!D6</f>
        <v>1.0163376859812145</v>
      </c>
      <c r="E3">
        <f>'BCDTRtSY-state-adjusted'!E6</f>
        <v>1.0268556203719321</v>
      </c>
      <c r="F3">
        <f>'BCDTRtSY-state-adjusted'!F6</f>
        <v>1.0339005771417944</v>
      </c>
      <c r="G3">
        <f>'BCDTRtSY-state-adjusted'!G6</f>
        <v>1.0397265644753149</v>
      </c>
      <c r="H3">
        <f>'BCDTRtSY-state-adjusted'!H6</f>
        <v>1.0441476315570317</v>
      </c>
      <c r="I3">
        <f>'BCDTRtSY-state-adjusted'!I6</f>
        <v>1.0508692515937579</v>
      </c>
      <c r="J3">
        <f>'BCDTRtSY-state-adjusted'!J6</f>
        <v>1.0571848447106096</v>
      </c>
      <c r="K3">
        <f>'BCDTRtSY-state-adjusted'!K6</f>
        <v>1.0639939722484781</v>
      </c>
      <c r="L3">
        <f>'BCDTRtSY-state-adjusted'!L6</f>
        <v>1.0703489953912402</v>
      </c>
      <c r="M3">
        <f>'BCDTRtSY-state-adjusted'!M6</f>
        <v>1.077040035221779</v>
      </c>
      <c r="N3">
        <f>'BCDTRtSY-state-adjusted'!N6</f>
        <v>1.0829607878706355</v>
      </c>
      <c r="O3">
        <f>'BCDTRtSY-state-adjusted'!O6</f>
        <v>1.0890222272576742</v>
      </c>
      <c r="P3">
        <f>'BCDTRtSY-state-adjusted'!P6</f>
        <v>1.0945897186380114</v>
      </c>
      <c r="Q3">
        <f>'BCDTRtSY-state-adjusted'!Q6</f>
        <v>1.1001428763631373</v>
      </c>
      <c r="R3">
        <f>'BCDTRtSY-state-adjusted'!R6</f>
        <v>1.1056499181798769</v>
      </c>
      <c r="S3">
        <f>'BCDTRtSY-state-adjusted'!S6</f>
        <v>1.1102255078756047</v>
      </c>
      <c r="T3">
        <f>'BCDTRtSY-state-adjusted'!T6</f>
        <v>1.1147590480571239</v>
      </c>
      <c r="U3">
        <f>'BCDTRtSY-state-adjusted'!U6</f>
        <v>1.1189588621251243</v>
      </c>
      <c r="V3">
        <f>'BCDTRtSY-state-adjusted'!V6</f>
        <v>1.1230406048826502</v>
      </c>
      <c r="W3">
        <f>'BCDTRtSY-state-adjusted'!W6</f>
        <v>1.1270110616555398</v>
      </c>
      <c r="X3">
        <f>'BCDTRtSY-state-adjusted'!X6</f>
        <v>1.1305897454111875</v>
      </c>
      <c r="Y3">
        <f>'BCDTRtSY-state-adjusted'!Y6</f>
        <v>1.1340533101387504</v>
      </c>
      <c r="Z3">
        <f>'BCDTRtSY-state-adjusted'!Z6</f>
        <v>1.137127475163497</v>
      </c>
      <c r="AA3">
        <f>'BCDTRtSY-state-adjusted'!AA6</f>
        <v>1.1400192186061602</v>
      </c>
      <c r="AB3">
        <f>'BCDTRtSY-state-adjusted'!AB6</f>
        <v>1.1428353204491517</v>
      </c>
    </row>
    <row r="4" spans="1:28">
      <c r="A4" t="s">
        <v>116</v>
      </c>
      <c r="B4">
        <f>'BCDTRtSY-state-adjusted'!B7</f>
        <v>1</v>
      </c>
      <c r="C4">
        <f>'BCDTRtSY-state-adjusted'!C7</f>
        <v>1</v>
      </c>
      <c r="D4">
        <f>'BCDTRtSY-state-adjusted'!D7</f>
        <v>1.0297344210249149</v>
      </c>
      <c r="E4">
        <f>'BCDTRtSY-state-adjusted'!E7</f>
        <v>1.0468433278676139</v>
      </c>
      <c r="F4">
        <f>'BCDTRtSY-state-adjusted'!F7</f>
        <v>1.0531805750580063</v>
      </c>
      <c r="G4">
        <f>'BCDTRtSY-state-adjusted'!G7</f>
        <v>1.0643056835531381</v>
      </c>
      <c r="H4">
        <f>'BCDTRtSY-state-adjusted'!H7</f>
        <v>1.0795169653934926</v>
      </c>
      <c r="I4">
        <f>'BCDTRtSY-state-adjusted'!I7</f>
        <v>1.097855765654429</v>
      </c>
      <c r="J4">
        <f>'BCDTRtSY-state-adjusted'!J7</f>
        <v>1.1206290203134925</v>
      </c>
      <c r="K4">
        <f>'BCDTRtSY-state-adjusted'!K7</f>
        <v>1.1453907518594213</v>
      </c>
      <c r="L4">
        <f>'BCDTRtSY-state-adjusted'!L7</f>
        <v>1.1726182211013487</v>
      </c>
      <c r="M4">
        <f>'BCDTRtSY-state-adjusted'!M7</f>
        <v>1.2025259549426783</v>
      </c>
      <c r="N4">
        <f>'BCDTRtSY-state-adjusted'!N7</f>
        <v>1.2255782026305253</v>
      </c>
      <c r="O4">
        <f>'BCDTRtSY-state-adjusted'!O7</f>
        <v>1.2488035887088198</v>
      </c>
      <c r="P4">
        <f>'BCDTRtSY-state-adjusted'!P7</f>
        <v>1.2718758282130547</v>
      </c>
      <c r="Q4">
        <f>'BCDTRtSY-state-adjusted'!Q7</f>
        <v>1.2940410686704824</v>
      </c>
      <c r="R4">
        <f>'BCDTRtSY-state-adjusted'!R7</f>
        <v>1.3167542937253804</v>
      </c>
      <c r="S4">
        <f>'BCDTRtSY-state-adjusted'!S7</f>
        <v>1.337961504298647</v>
      </c>
      <c r="T4">
        <f>'BCDTRtSY-state-adjusted'!T7</f>
        <v>1.3603619191131697</v>
      </c>
      <c r="U4">
        <f>'BCDTRtSY-state-adjusted'!U7</f>
        <v>1.384210494154885</v>
      </c>
      <c r="V4">
        <f>'BCDTRtSY-state-adjusted'!V7</f>
        <v>1.408070819989883</v>
      </c>
      <c r="W4">
        <f>'BCDTRtSY-state-adjusted'!W7</f>
        <v>1.4321622922374708</v>
      </c>
      <c r="X4">
        <f>'BCDTRtSY-state-adjusted'!X7</f>
        <v>1.4553038247137324</v>
      </c>
      <c r="Y4">
        <f>'BCDTRtSY-state-adjusted'!Y7</f>
        <v>1.4765064399181638</v>
      </c>
      <c r="Z4">
        <f>'BCDTRtSY-state-adjusted'!Z7</f>
        <v>1.4979774017788021</v>
      </c>
      <c r="AA4">
        <f>'BCDTRtSY-state-adjusted'!AA7</f>
        <v>1.5184281866499887</v>
      </c>
      <c r="AB4">
        <f>'BCDTRtSY-state-adjusted'!AB7</f>
        <v>1.5394658042807883</v>
      </c>
    </row>
    <row r="5" spans="1:28">
      <c r="A5" t="s">
        <v>121</v>
      </c>
      <c r="B5">
        <f>'BCDTRtSY-state-adjusted'!B8</f>
        <v>1</v>
      </c>
      <c r="C5">
        <f>'BCDTRtSY-state-adjusted'!C8</f>
        <v>1</v>
      </c>
      <c r="D5">
        <f>'BCDTRtSY-state-adjusted'!D8</f>
        <v>1.0620443894774649</v>
      </c>
      <c r="E5">
        <f>'BCDTRtSY-state-adjusted'!E8</f>
        <v>1.1075958060094038</v>
      </c>
      <c r="F5">
        <f>'BCDTRtSY-state-adjusted'!F8</f>
        <v>1.1415592910802583</v>
      </c>
      <c r="G5">
        <f>'BCDTRtSY-state-adjusted'!G8</f>
        <v>1.1706581913650738</v>
      </c>
      <c r="H5">
        <f>'BCDTRtSY-state-adjusted'!H8</f>
        <v>1.195099374387421</v>
      </c>
      <c r="I5">
        <f>'BCDTRtSY-state-adjusted'!I8</f>
        <v>1.2197617455677285</v>
      </c>
      <c r="J5">
        <f>'BCDTRtSY-state-adjusted'!J8</f>
        <v>1.2423430489226617</v>
      </c>
      <c r="K5">
        <f>'BCDTRtSY-state-adjusted'!K8</f>
        <v>1.2658783246083085</v>
      </c>
      <c r="L5">
        <f>'BCDTRtSY-state-adjusted'!L8</f>
        <v>1.2844541926933133</v>
      </c>
      <c r="M5">
        <f>'BCDTRtSY-state-adjusted'!M8</f>
        <v>1.3030681162646249</v>
      </c>
      <c r="N5">
        <f>'BCDTRtSY-state-adjusted'!N8</f>
        <v>1.3180135991879207</v>
      </c>
      <c r="O5">
        <f>'BCDTRtSY-state-adjusted'!O8</f>
        <v>1.3338857246076328</v>
      </c>
      <c r="P5">
        <f>'BCDTRtSY-state-adjusted'!P8</f>
        <v>1.3485011557827025</v>
      </c>
      <c r="Q5">
        <f>'BCDTRtSY-state-adjusted'!Q8</f>
        <v>1.3604281478357914</v>
      </c>
      <c r="R5">
        <f>'BCDTRtSY-state-adjusted'!R8</f>
        <v>1.3727516427451676</v>
      </c>
      <c r="S5">
        <f>'BCDTRtSY-state-adjusted'!S8</f>
        <v>1.3833701064787824</v>
      </c>
      <c r="T5">
        <f>'BCDTRtSY-state-adjusted'!T8</f>
        <v>1.3940469198687873</v>
      </c>
      <c r="U5">
        <f>'BCDTRtSY-state-adjusted'!U8</f>
        <v>1.4031660572284905</v>
      </c>
      <c r="V5">
        <f>'BCDTRtSY-state-adjusted'!V8</f>
        <v>1.4131427690309841</v>
      </c>
      <c r="W5">
        <f>'BCDTRtSY-state-adjusted'!W8</f>
        <v>1.423821051870803</v>
      </c>
      <c r="X5">
        <f>'BCDTRtSY-state-adjusted'!X8</f>
        <v>1.4328512317250379</v>
      </c>
      <c r="Y5">
        <f>'BCDTRtSY-state-adjusted'!Y8</f>
        <v>1.4426519125694957</v>
      </c>
      <c r="Z5">
        <f>'BCDTRtSY-state-adjusted'!Z8</f>
        <v>1.4500905589350939</v>
      </c>
      <c r="AA5">
        <f>'BCDTRtSY-state-adjusted'!AA8</f>
        <v>1.4571150285999399</v>
      </c>
      <c r="AB5">
        <f>'BCDTRtSY-state-adjusted'!AB8</f>
        <v>1.4638348031166699</v>
      </c>
    </row>
    <row r="6" spans="1:28">
      <c r="A6" t="s">
        <v>122</v>
      </c>
      <c r="B6">
        <f>'BCDTRtSY-state-adjusted'!B9</f>
        <v>1</v>
      </c>
      <c r="C6">
        <f>'BCDTRtSY-state-adjusted'!C9</f>
        <v>1</v>
      </c>
      <c r="D6">
        <f>'BCDTRtSY-state-adjusted'!D9</f>
        <v>1.0003741530935386</v>
      </c>
      <c r="E6">
        <f>'BCDTRtSY-state-adjusted'!E9</f>
        <v>0.99369522116800746</v>
      </c>
      <c r="F6">
        <f>'BCDTRtSY-state-adjusted'!F9</f>
        <v>0.98111141662235124</v>
      </c>
      <c r="G6">
        <f>'BCDTRtSY-state-adjusted'!G9</f>
        <v>0.97099579528158786</v>
      </c>
      <c r="H6">
        <f>'BCDTRtSY-state-adjusted'!H9</f>
        <v>0.96318744978701387</v>
      </c>
      <c r="I6">
        <f>'BCDTRtSY-state-adjusted'!I9</f>
        <v>0.9585102838401397</v>
      </c>
      <c r="J6">
        <f>'BCDTRtSY-state-adjusted'!J9</f>
        <v>0.95611162737443345</v>
      </c>
      <c r="K6">
        <f>'BCDTRtSY-state-adjusted'!K9</f>
        <v>0.95487183143375431</v>
      </c>
      <c r="L6">
        <f>'BCDTRtSY-state-adjusted'!L9</f>
        <v>0.95484400160619831</v>
      </c>
      <c r="M6">
        <f>'BCDTRtSY-state-adjusted'!M9</f>
        <v>0.95609368570608</v>
      </c>
      <c r="N6">
        <f>'BCDTRtSY-state-adjusted'!N9</f>
        <v>0.95434716066986736</v>
      </c>
      <c r="O6">
        <f>'BCDTRtSY-state-adjusted'!O9</f>
        <v>0.95260978800385598</v>
      </c>
      <c r="P6">
        <f>'BCDTRtSY-state-adjusted'!P9</f>
        <v>0.95067861796516118</v>
      </c>
      <c r="Q6">
        <f>'BCDTRtSY-state-adjusted'!Q9</f>
        <v>0.94864716572995578</v>
      </c>
      <c r="R6">
        <f>'BCDTRtSY-state-adjusted'!R9</f>
        <v>0.94668045326195605</v>
      </c>
      <c r="S6">
        <f>'BCDTRtSY-state-adjusted'!S9</f>
        <v>0.94379252442861539</v>
      </c>
      <c r="T6">
        <f>'BCDTRtSY-state-adjusted'!T9</f>
        <v>0.94130908410550063</v>
      </c>
      <c r="U6">
        <f>'BCDTRtSY-state-adjusted'!U9</f>
        <v>0.93910155895864511</v>
      </c>
      <c r="V6">
        <f>'BCDTRtSY-state-adjusted'!V9</f>
        <v>0.93687126564110523</v>
      </c>
      <c r="W6">
        <f>'BCDTRtSY-state-adjusted'!W9</f>
        <v>0.93458482600411208</v>
      </c>
      <c r="X6">
        <f>'BCDTRtSY-state-adjusted'!X9</f>
        <v>0.93179537258740741</v>
      </c>
      <c r="Y6">
        <f>'BCDTRtSY-state-adjusted'!Y9</f>
        <v>0.92831471026652579</v>
      </c>
      <c r="Z6">
        <f>'BCDTRtSY-state-adjusted'!Z9</f>
        <v>0.92466132220385755</v>
      </c>
      <c r="AA6">
        <f>'BCDTRtSY-state-adjusted'!AA9</f>
        <v>0.92059308842271748</v>
      </c>
      <c r="AB6">
        <f>'BCDTRtSY-state-adjusted'!AB9</f>
        <v>0.91677585792561234</v>
      </c>
    </row>
    <row r="7" spans="1:28">
      <c r="A7" t="s">
        <v>123</v>
      </c>
      <c r="B7">
        <f>'BCDTRtSY-state-adjusted'!B10</f>
        <v>1</v>
      </c>
      <c r="C7">
        <f>'BCDTRtSY-state-adjusted'!C10</f>
        <v>1</v>
      </c>
      <c r="D7">
        <f>'BCDTRtSY-state-adjusted'!D10</f>
        <v>1.0043121658767391</v>
      </c>
      <c r="E7">
        <f>'BCDTRtSY-state-adjusted'!E10</f>
        <v>1.0108092846514514</v>
      </c>
      <c r="F7">
        <f>'BCDTRtSY-state-adjusted'!F10</f>
        <v>1.0143733649392495</v>
      </c>
      <c r="G7">
        <f>'BCDTRtSY-state-adjusted'!G10</f>
        <v>1.0177306785748346</v>
      </c>
      <c r="H7">
        <f>'BCDTRtSY-state-adjusted'!H10</f>
        <v>1.0200649224564544</v>
      </c>
      <c r="I7">
        <f>'BCDTRtSY-state-adjusted'!I10</f>
        <v>1.0263128573474181</v>
      </c>
      <c r="J7">
        <f>'BCDTRtSY-state-adjusted'!J10</f>
        <v>1.0326224981497945</v>
      </c>
      <c r="K7">
        <f>'BCDTRtSY-state-adjusted'!K10</f>
        <v>1.0374097091305219</v>
      </c>
      <c r="L7">
        <f>'BCDTRtSY-state-adjusted'!L10</f>
        <v>1.0425584860342798</v>
      </c>
      <c r="M7">
        <f>'BCDTRtSY-state-adjusted'!M10</f>
        <v>1.0467996957369576</v>
      </c>
      <c r="N7">
        <f>'BCDTRtSY-state-adjusted'!N10</f>
        <v>1.0518531519943526</v>
      </c>
      <c r="O7">
        <f>'BCDTRtSY-state-adjusted'!O10</f>
        <v>1.0573670947449691</v>
      </c>
      <c r="P7">
        <f>'BCDTRtSY-state-adjusted'!P10</f>
        <v>1.0628593507291044</v>
      </c>
      <c r="Q7">
        <f>'BCDTRtSY-state-adjusted'!Q10</f>
        <v>1.0676239486435335</v>
      </c>
      <c r="R7">
        <f>'BCDTRtSY-state-adjusted'!R10</f>
        <v>1.0726264181005165</v>
      </c>
      <c r="S7">
        <f>'BCDTRtSY-state-adjusted'!S10</f>
        <v>1.0769040407428194</v>
      </c>
      <c r="T7">
        <f>'BCDTRtSY-state-adjusted'!T10</f>
        <v>1.080914204860727</v>
      </c>
      <c r="U7">
        <f>'BCDTRtSY-state-adjusted'!U10</f>
        <v>1.0846898228212067</v>
      </c>
      <c r="V7">
        <f>'BCDTRtSY-state-adjusted'!V10</f>
        <v>1.0888157296533199</v>
      </c>
      <c r="W7">
        <f>'BCDTRtSY-state-adjusted'!W10</f>
        <v>1.0928104396339098</v>
      </c>
      <c r="X7">
        <f>'BCDTRtSY-state-adjusted'!X10</f>
        <v>1.0963294697852561</v>
      </c>
      <c r="Y7">
        <f>'BCDTRtSY-state-adjusted'!Y10</f>
        <v>1.0990894188729063</v>
      </c>
      <c r="Z7">
        <f>'BCDTRtSY-state-adjusted'!Z10</f>
        <v>1.1017938521626653</v>
      </c>
      <c r="AA7">
        <f>'BCDTRtSY-state-adjusted'!AA10</f>
        <v>1.104333596630382</v>
      </c>
      <c r="AB7">
        <f>'BCDTRtSY-state-adjusted'!AB10</f>
        <v>1.1072892980887299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0.99452521736207866</v>
      </c>
      <c r="E2">
        <f>'BCDTRtSY-state-adjusted'!E13</f>
        <v>0.9945200941350677</v>
      </c>
      <c r="F2">
        <f>'BCDTRtSY-state-adjusted'!F13</f>
        <v>0.99415469544778234</v>
      </c>
      <c r="G2">
        <f>'BCDTRtSY-state-adjusted'!G13</f>
        <v>0.99496167431549642</v>
      </c>
      <c r="H2">
        <f>'BCDTRtSY-state-adjusted'!H13</f>
        <v>1.0005284871890816</v>
      </c>
      <c r="I2">
        <f>'BCDTRtSY-state-adjusted'!I13</f>
        <v>1.0084466433054018</v>
      </c>
      <c r="J2">
        <f>'BCDTRtSY-state-adjusted'!J13</f>
        <v>1.0181976980344916</v>
      </c>
      <c r="K2">
        <f>'BCDTRtSY-state-adjusted'!K13</f>
        <v>1.0266926953230442</v>
      </c>
      <c r="L2">
        <f>'BCDTRtSY-state-adjusted'!L13</f>
        <v>1.0371766125410931</v>
      </c>
      <c r="M2">
        <f>'BCDTRtSY-state-adjusted'!M13</f>
        <v>1.048431027224322</v>
      </c>
      <c r="N2">
        <f>'BCDTRtSY-state-adjusted'!N13</f>
        <v>1.0600902415013695</v>
      </c>
      <c r="O2">
        <f>'BCDTRtSY-state-adjusted'!O13</f>
        <v>1.0731025360780335</v>
      </c>
      <c r="P2">
        <f>'BCDTRtSY-state-adjusted'!P13</f>
        <v>1.0874514164678148</v>
      </c>
      <c r="Q2">
        <f>'BCDTRtSY-state-adjusted'!Q13</f>
        <v>1.1022591535643256</v>
      </c>
      <c r="R2">
        <f>'BCDTRtSY-state-adjusted'!R13</f>
        <v>1.1176828357222599</v>
      </c>
      <c r="S2">
        <f>'BCDTRtSY-state-adjusted'!S13</f>
        <v>1.1320077237299841</v>
      </c>
      <c r="T2">
        <f>'BCDTRtSY-state-adjusted'!T13</f>
        <v>1.145775404401409</v>
      </c>
      <c r="U2">
        <f>'BCDTRtSY-state-adjusted'!U13</f>
        <v>1.156939920066332</v>
      </c>
      <c r="V2">
        <f>'BCDTRtSY-state-adjusted'!V13</f>
        <v>1.1678804413887949</v>
      </c>
      <c r="W2">
        <f>'BCDTRtSY-state-adjusted'!W13</f>
        <v>1.1803096464684413</v>
      </c>
      <c r="X2">
        <f>'BCDTRtSY-state-adjusted'!X13</f>
        <v>1.1933002043107361</v>
      </c>
      <c r="Y2">
        <f>'BCDTRtSY-state-adjusted'!Y13</f>
        <v>1.2070868779437836</v>
      </c>
      <c r="Z2">
        <f>'BCDTRtSY-state-adjusted'!Z13</f>
        <v>1.2195926705762377</v>
      </c>
      <c r="AA2">
        <f>'BCDTRtSY-state-adjusted'!AA13</f>
        <v>1.2329966651177569</v>
      </c>
      <c r="AB2">
        <f>'BCDTRtSY-state-adjusted'!AB13</f>
        <v>1.2456621457514909</v>
      </c>
    </row>
    <row r="3" spans="1:28">
      <c r="A3" t="s">
        <v>118</v>
      </c>
      <c r="B3">
        <f>'BCDTRtSY-state-adjusted'!B14</f>
        <v>1</v>
      </c>
      <c r="C3">
        <f>'BCDTRtSY-state-adjusted'!C14</f>
        <v>1</v>
      </c>
      <c r="D3">
        <f>'BCDTRtSY-state-adjusted'!D14</f>
        <v>1.0091464219704083</v>
      </c>
      <c r="E3">
        <f>'BCDTRtSY-state-adjusted'!E14</f>
        <v>1.0225014599928193</v>
      </c>
      <c r="F3">
        <f>'BCDTRtSY-state-adjusted'!F14</f>
        <v>1.0349671578607051</v>
      </c>
      <c r="G3">
        <f>'BCDTRtSY-state-adjusted'!G14</f>
        <v>1.0448247670392494</v>
      </c>
      <c r="H3">
        <f>'BCDTRtSY-state-adjusted'!H14</f>
        <v>1.0570248545500267</v>
      </c>
      <c r="I3">
        <f>'BCDTRtSY-state-adjusted'!I14</f>
        <v>1.0687591424202567</v>
      </c>
      <c r="J3">
        <f>'BCDTRtSY-state-adjusted'!J14</f>
        <v>1.0814624504575348</v>
      </c>
      <c r="K3">
        <f>'BCDTRtSY-state-adjusted'!K14</f>
        <v>1.0920228786895478</v>
      </c>
      <c r="L3">
        <f>'BCDTRtSY-state-adjusted'!L14</f>
        <v>1.1038970675069746</v>
      </c>
      <c r="M3">
        <f>'BCDTRtSY-state-adjusted'!M14</f>
        <v>1.1156875739421332</v>
      </c>
      <c r="N3">
        <f>'BCDTRtSY-state-adjusted'!N14</f>
        <v>1.1267146576672069</v>
      </c>
      <c r="O3">
        <f>'BCDTRtSY-state-adjusted'!O14</f>
        <v>1.1370751181260712</v>
      </c>
      <c r="P3">
        <f>'BCDTRtSY-state-adjusted'!P14</f>
        <v>1.1464396234343694</v>
      </c>
      <c r="Q3">
        <f>'BCDTRtSY-state-adjusted'!Q14</f>
        <v>1.1552517116316816</v>
      </c>
      <c r="R3">
        <f>'BCDTRtSY-state-adjusted'!R14</f>
        <v>1.1642775634672071</v>
      </c>
      <c r="S3">
        <f>'BCDTRtSY-state-adjusted'!S14</f>
        <v>1.1729000407261685</v>
      </c>
      <c r="T3">
        <f>'BCDTRtSY-state-adjusted'!T14</f>
        <v>1.1810038009848527</v>
      </c>
      <c r="U3">
        <f>'BCDTRtSY-state-adjusted'!U14</f>
        <v>1.1880744491703819</v>
      </c>
      <c r="V3">
        <f>'BCDTRtSY-state-adjusted'!V14</f>
        <v>1.1954990096940674</v>
      </c>
      <c r="W3">
        <f>'BCDTRtSY-state-adjusted'!W14</f>
        <v>1.2049209867483019</v>
      </c>
      <c r="X3">
        <f>'BCDTRtSY-state-adjusted'!X14</f>
        <v>1.2146038223009006</v>
      </c>
      <c r="Y3">
        <f>'BCDTRtSY-state-adjusted'!Y14</f>
        <v>1.2242260496496571</v>
      </c>
      <c r="Z3">
        <f>'BCDTRtSY-state-adjusted'!Z14</f>
        <v>1.2316282047100389</v>
      </c>
      <c r="AA3">
        <f>'BCDTRtSY-state-adjusted'!AA14</f>
        <v>1.2389727529593184</v>
      </c>
      <c r="AB3">
        <f>'BCDTRtSY-state-adjusted'!AB14</f>
        <v>1.245736570402141</v>
      </c>
    </row>
    <row r="4" spans="1:28">
      <c r="A4" t="s">
        <v>116</v>
      </c>
      <c r="B4">
        <f>'BCDTRtSY-state-adjusted'!B15</f>
        <v>1</v>
      </c>
      <c r="C4">
        <f>'BCDTRtSY-state-adjusted'!C15</f>
        <v>1</v>
      </c>
      <c r="D4">
        <f>'BCDTRtSY-state-adjusted'!D15</f>
        <v>1.0251909257533152</v>
      </c>
      <c r="E4">
        <f>'BCDTRtSY-state-adjusted'!E15</f>
        <v>1.0425743346702507</v>
      </c>
      <c r="F4">
        <f>'BCDTRtSY-state-adjusted'!F15</f>
        <v>1.0534827294637403</v>
      </c>
      <c r="G4">
        <f>'BCDTRtSY-state-adjusted'!G15</f>
        <v>1.0680481089277027</v>
      </c>
      <c r="H4">
        <f>'BCDTRtSY-state-adjusted'!H15</f>
        <v>1.0855448124601297</v>
      </c>
      <c r="I4">
        <f>'BCDTRtSY-state-adjusted'!I15</f>
        <v>1.1067302680644482</v>
      </c>
      <c r="J4">
        <f>'BCDTRtSY-state-adjusted'!J15</f>
        <v>1.1311383606654866</v>
      </c>
      <c r="K4">
        <f>'BCDTRtSY-state-adjusted'!K15</f>
        <v>1.1571481564836081</v>
      </c>
      <c r="L4">
        <f>'BCDTRtSY-state-adjusted'!L15</f>
        <v>1.185083633702704</v>
      </c>
      <c r="M4">
        <f>'BCDTRtSY-state-adjusted'!M15</f>
        <v>1.2150795658623974</v>
      </c>
      <c r="N4">
        <f>'BCDTRtSY-state-adjusted'!N15</f>
        <v>1.2406787379148072</v>
      </c>
      <c r="O4">
        <f>'BCDTRtSY-state-adjusted'!O15</f>
        <v>1.2666036048510674</v>
      </c>
      <c r="P4">
        <f>'BCDTRtSY-state-adjusted'!P15</f>
        <v>1.2926261581692733</v>
      </c>
      <c r="Q4">
        <f>'BCDTRtSY-state-adjusted'!Q15</f>
        <v>1.3182186862494789</v>
      </c>
      <c r="R4">
        <f>'BCDTRtSY-state-adjusted'!R15</f>
        <v>1.3443938791850865</v>
      </c>
      <c r="S4">
        <f>'BCDTRtSY-state-adjusted'!S15</f>
        <v>1.3696406447415614</v>
      </c>
      <c r="T4">
        <f>'BCDTRtSY-state-adjusted'!T15</f>
        <v>1.3958896082141778</v>
      </c>
      <c r="U4">
        <f>'BCDTRtSY-state-adjusted'!U15</f>
        <v>1.4233253736301659</v>
      </c>
      <c r="V4">
        <f>'BCDTRtSY-state-adjusted'!V15</f>
        <v>1.4509629883927122</v>
      </c>
      <c r="W4">
        <f>'BCDTRtSY-state-adjusted'!W15</f>
        <v>1.4789523252223342</v>
      </c>
      <c r="X4">
        <f>'BCDTRtSY-state-adjusted'!X15</f>
        <v>1.5064778747710448</v>
      </c>
      <c r="Y4">
        <f>'BCDTRtSY-state-adjusted'!Y15</f>
        <v>1.5328416018524913</v>
      </c>
      <c r="Z4">
        <f>'BCDTRtSY-state-adjusted'!Z15</f>
        <v>1.5595918335201002</v>
      </c>
      <c r="AA4">
        <f>'BCDTRtSY-state-adjusted'!AA15</f>
        <v>1.5858287053444753</v>
      </c>
      <c r="AB4">
        <f>'BCDTRtSY-state-adjusted'!AB15</f>
        <v>1.6127007796394774</v>
      </c>
    </row>
    <row r="5" spans="1:28">
      <c r="A5" t="s">
        <v>121</v>
      </c>
      <c r="B5">
        <f>'BCDTRtSY-state-adjusted'!B16</f>
        <v>1</v>
      </c>
      <c r="C5">
        <f>'BCDTRtSY-state-adjusted'!C16</f>
        <v>1</v>
      </c>
      <c r="D5">
        <f>'BCDTRtSY-state-adjusted'!D16</f>
        <v>0.97571071363206741</v>
      </c>
      <c r="E5">
        <f>'BCDTRtSY-state-adjusted'!E16</f>
        <v>1.0055572315847754</v>
      </c>
      <c r="F5">
        <f>'BCDTRtSY-state-adjusted'!F16</f>
        <v>0.98336749887502983</v>
      </c>
      <c r="G5">
        <f>'BCDTRtSY-state-adjusted'!G16</f>
        <v>0.97406120550059383</v>
      </c>
      <c r="H5">
        <f>'BCDTRtSY-state-adjusted'!H16</f>
        <v>0.97900448430070786</v>
      </c>
      <c r="I5">
        <f>'BCDTRtSY-state-adjusted'!I16</f>
        <v>0.9559667330500049</v>
      </c>
      <c r="J5">
        <f>'BCDTRtSY-state-adjusted'!J16</f>
        <v>0.96204992251952171</v>
      </c>
      <c r="K5">
        <f>'BCDTRtSY-state-adjusted'!K16</f>
        <v>0.96829305821612366</v>
      </c>
      <c r="L5">
        <f>'BCDTRtSY-state-adjusted'!L16</f>
        <v>0.96760529029382025</v>
      </c>
      <c r="M5">
        <f>'BCDTRtSY-state-adjusted'!M16</f>
        <v>0.97282547343763848</v>
      </c>
      <c r="N5">
        <f>'BCDTRtSY-state-adjusted'!N16</f>
        <v>0.97718755950544811</v>
      </c>
      <c r="O5">
        <f>'BCDTRtSY-state-adjusted'!O16</f>
        <v>0.98294419133931454</v>
      </c>
      <c r="P5">
        <f>'BCDTRtSY-state-adjusted'!P16</f>
        <v>0.98539425418253479</v>
      </c>
      <c r="Q5">
        <f>'BCDTRtSY-state-adjusted'!Q16</f>
        <v>0.98942868015055219</v>
      </c>
      <c r="R5">
        <f>'BCDTRtSY-state-adjusted'!R16</f>
        <v>0.9924544280983123</v>
      </c>
      <c r="S5">
        <f>'BCDTRtSY-state-adjusted'!S16</f>
        <v>0.99344920590298103</v>
      </c>
      <c r="T5">
        <f>'BCDTRtSY-state-adjusted'!T16</f>
        <v>0.99226599679690963</v>
      </c>
      <c r="U5">
        <f>'BCDTRtSY-state-adjusted'!U16</f>
        <v>0.9917184442614394</v>
      </c>
      <c r="V5">
        <f>'BCDTRtSY-state-adjusted'!V16</f>
        <v>0.99369654474917479</v>
      </c>
      <c r="W5">
        <f>'BCDTRtSY-state-adjusted'!W16</f>
        <v>0.99505727618656648</v>
      </c>
      <c r="X5">
        <f>'BCDTRtSY-state-adjusted'!X16</f>
        <v>0.99901086449293952</v>
      </c>
      <c r="Y5">
        <f>'BCDTRtSY-state-adjusted'!Y16</f>
        <v>1.0067754233561892</v>
      </c>
      <c r="Z5">
        <f>'BCDTRtSY-state-adjusted'!Z16</f>
        <v>1.0118472869084183</v>
      </c>
      <c r="AA5">
        <f>'BCDTRtSY-state-adjusted'!AA16</f>
        <v>1.0108385195199536</v>
      </c>
      <c r="AB5">
        <f>'BCDTRtSY-state-adjusted'!AB16</f>
        <v>1.0105077891910359</v>
      </c>
    </row>
    <row r="6" spans="1:28">
      <c r="A6" t="s">
        <v>122</v>
      </c>
      <c r="B6">
        <f>'BCDTRtSY-state-adjusted'!B17</f>
        <v>1</v>
      </c>
      <c r="C6">
        <f>'BCDTRtSY-state-adjusted'!C17</f>
        <v>1</v>
      </c>
      <c r="D6">
        <f>'BCDTRtSY-state-adjusted'!D17</f>
        <v>0.99055831493732227</v>
      </c>
      <c r="E6">
        <f>'BCDTRtSY-state-adjusted'!E17</f>
        <v>1.0080658284745445</v>
      </c>
      <c r="F6">
        <f>'BCDTRtSY-state-adjusted'!F17</f>
        <v>1.0275396196570166</v>
      </c>
      <c r="G6">
        <f>'BCDTRtSY-state-adjusted'!G17</f>
        <v>1.0436115031412674</v>
      </c>
      <c r="H6">
        <f>'BCDTRtSY-state-adjusted'!H17</f>
        <v>1.0605565108244923</v>
      </c>
      <c r="I6">
        <f>'BCDTRtSY-state-adjusted'!I17</f>
        <v>1.0800373395637328</v>
      </c>
      <c r="J6">
        <f>'BCDTRtSY-state-adjusted'!J17</f>
        <v>1.1016355934759072</v>
      </c>
      <c r="K6">
        <f>'BCDTRtSY-state-adjusted'!K17</f>
        <v>1.1236086726984986</v>
      </c>
      <c r="L6">
        <f>'BCDTRtSY-state-adjusted'!L17</f>
        <v>1.1463862855462357</v>
      </c>
      <c r="M6">
        <f>'BCDTRtSY-state-adjusted'!M17</f>
        <v>1.1702645906339946</v>
      </c>
      <c r="N6">
        <f>'BCDTRtSY-state-adjusted'!N17</f>
        <v>1.1901778424538274</v>
      </c>
      <c r="O6">
        <f>'BCDTRtSY-state-adjusted'!O17</f>
        <v>1.2067708811494355</v>
      </c>
      <c r="P6">
        <f>'BCDTRtSY-state-adjusted'!P17</f>
        <v>1.2234062001557007</v>
      </c>
      <c r="Q6">
        <f>'BCDTRtSY-state-adjusted'!Q17</f>
        <v>1.2388881218596046</v>
      </c>
      <c r="R6">
        <f>'BCDTRtSY-state-adjusted'!R17</f>
        <v>1.2544985383103009</v>
      </c>
      <c r="S6">
        <f>'BCDTRtSY-state-adjusted'!S17</f>
        <v>1.2695753713130797</v>
      </c>
      <c r="T6">
        <f>'BCDTRtSY-state-adjusted'!T17</f>
        <v>1.2857935378379726</v>
      </c>
      <c r="U6">
        <f>'BCDTRtSY-state-adjusted'!U17</f>
        <v>1.3016301927930678</v>
      </c>
      <c r="V6">
        <f>'BCDTRtSY-state-adjusted'!V17</f>
        <v>1.3173630514804955</v>
      </c>
      <c r="W6">
        <f>'BCDTRtSY-state-adjusted'!W17</f>
        <v>1.3345451216528388</v>
      </c>
      <c r="X6">
        <f>'BCDTRtSY-state-adjusted'!X17</f>
        <v>1.3519448120022379</v>
      </c>
      <c r="Y6">
        <f>'BCDTRtSY-state-adjusted'!Y17</f>
        <v>1.3695996744421022</v>
      </c>
      <c r="Z6">
        <f>'BCDTRtSY-state-adjusted'!Z17</f>
        <v>1.3865085566268986</v>
      </c>
      <c r="AA6">
        <f>'BCDTRtSY-state-adjusted'!AA17</f>
        <v>1.4031484444912314</v>
      </c>
      <c r="AB6">
        <f>'BCDTRtSY-state-adjusted'!AB17</f>
        <v>1.4213473844756528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2026-08-14T21:49:34Z</dcterms:modified>
</cp:coreProperties>
</file>