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C7D68BF8-7C66-4371-AD36-B380DCE1821A}"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O23" i="9"/>
  <c r="O43" i="9" s="1"/>
  <c r="N23" i="9"/>
  <c r="M23" i="9"/>
  <c r="L23" i="9"/>
  <c r="K23" i="9"/>
  <c r="J23" i="9"/>
  <c r="I23" i="9"/>
  <c r="H23" i="9"/>
  <c r="G23" i="9"/>
  <c r="F23" i="9"/>
  <c r="E23" i="9"/>
  <c r="D23" i="9"/>
  <c r="C23" i="9"/>
  <c r="B23" i="9"/>
  <c r="AB22" i="9"/>
  <c r="AA22" i="9"/>
  <c r="Z22" i="9"/>
  <c r="Y22" i="9"/>
  <c r="X22" i="9"/>
  <c r="W22" i="9"/>
  <c r="V22" i="9"/>
  <c r="U22" i="9"/>
  <c r="T22" i="9"/>
  <c r="T42" i="9" s="1"/>
  <c r="S22" i="9"/>
  <c r="R22" i="9"/>
  <c r="Q22" i="9"/>
  <c r="P22" i="9"/>
  <c r="O22" i="9"/>
  <c r="N22" i="9"/>
  <c r="M22" i="9"/>
  <c r="L22" i="9"/>
  <c r="K22" i="9"/>
  <c r="J22" i="9"/>
  <c r="I22" i="9"/>
  <c r="H22" i="9"/>
  <c r="G22" i="9"/>
  <c r="F22" i="9"/>
  <c r="E22" i="9"/>
  <c r="D22" i="9"/>
  <c r="C22" i="9"/>
  <c r="B22" i="9"/>
  <c r="AB21" i="9"/>
  <c r="AA21" i="9"/>
  <c r="Z21" i="9"/>
  <c r="Y21" i="9"/>
  <c r="Y41" i="9" s="1"/>
  <c r="X21" i="9"/>
  <c r="W21" i="9"/>
  <c r="V21" i="9"/>
  <c r="U21" i="9"/>
  <c r="T21" i="9"/>
  <c r="S21" i="9"/>
  <c r="R21" i="9"/>
  <c r="Q21" i="9"/>
  <c r="P21" i="9"/>
  <c r="O21" i="9"/>
  <c r="N21" i="9"/>
  <c r="M21" i="9"/>
  <c r="L21" i="9"/>
  <c r="K21" i="9"/>
  <c r="J21" i="9"/>
  <c r="I21" i="9"/>
  <c r="H21" i="9"/>
  <c r="G21" i="9"/>
  <c r="F21" i="9"/>
  <c r="E21" i="9"/>
  <c r="D21" i="9"/>
  <c r="C21" i="9"/>
  <c r="C41" i="9" s="1"/>
  <c r="B21" i="9"/>
  <c r="AB20" i="9"/>
  <c r="AA20" i="9"/>
  <c r="Z20" i="9"/>
  <c r="Y20" i="9"/>
  <c r="X20" i="9"/>
  <c r="W20" i="9"/>
  <c r="V20" i="9"/>
  <c r="U20" i="9"/>
  <c r="T20" i="9"/>
  <c r="S20" i="9"/>
  <c r="R20" i="9"/>
  <c r="Q20" i="9"/>
  <c r="P20" i="9"/>
  <c r="O20" i="9"/>
  <c r="N20" i="9"/>
  <c r="M20" i="9"/>
  <c r="L20" i="9"/>
  <c r="K20" i="9"/>
  <c r="J20" i="9"/>
  <c r="I20" i="9"/>
  <c r="H20" i="9"/>
  <c r="G20" i="9"/>
  <c r="F20" i="9"/>
  <c r="E20" i="9"/>
  <c r="D20" i="9"/>
  <c r="C20" i="9"/>
  <c r="B20" i="9"/>
  <c r="AB19" i="9"/>
  <c r="AA19" i="9"/>
  <c r="Z19" i="9"/>
  <c r="Y19" i="9"/>
  <c r="X19" i="9"/>
  <c r="W19" i="9"/>
  <c r="V19" i="9"/>
  <c r="U19" i="9"/>
  <c r="T19" i="9"/>
  <c r="S19" i="9"/>
  <c r="R19" i="9"/>
  <c r="Q19" i="9"/>
  <c r="P19" i="9"/>
  <c r="O19" i="9"/>
  <c r="N19" i="9"/>
  <c r="M19" i="9"/>
  <c r="M39" i="9" s="1"/>
  <c r="L19" i="9"/>
  <c r="K19" i="9"/>
  <c r="J19" i="9"/>
  <c r="I19" i="9"/>
  <c r="H19" i="9"/>
  <c r="G19" i="9"/>
  <c r="F19" i="9"/>
  <c r="E19" i="9"/>
  <c r="D19" i="9"/>
  <c r="C19" i="9"/>
  <c r="B19" i="9"/>
  <c r="AB18" i="9"/>
  <c r="AA18" i="9"/>
  <c r="Z18" i="9"/>
  <c r="Y18" i="9"/>
  <c r="X18" i="9"/>
  <c r="W18" i="9"/>
  <c r="V18" i="9"/>
  <c r="U18" i="9"/>
  <c r="T18" i="9"/>
  <c r="S18" i="9"/>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P43" i="9" l="1"/>
  <c r="I40" i="9"/>
  <c r="U42" i="9"/>
  <c r="S38" i="9"/>
  <c r="D41" i="9"/>
  <c r="N39" i="9"/>
  <c r="Z41" i="9"/>
  <c r="L39" i="9"/>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M4" i="11" s="1"/>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D4" i="11" s="1"/>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<sst xmlns="http://schemas.openxmlformats.org/spreadsheetml/2006/main" count="5677" uniqueCount="335">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</sst>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162</v>
      </c>
    </row>
    <row r="2" spans="1:2" x14ac:dyDescent="0.25">
      <c r="A2" s="3" t="s">
        <v>2</v>
      </c>
      <c r="B2" s="4" t="str">
        <f>IFERROR(INDEX(Geography!B:B, MATCH($B$1, Geography!C:C, 0)), "")</f>
        <v>SD</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470635</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924669</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1.0266637007258177</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454034</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924669</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0.9737849245846868</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777547</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924669</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1.1189932124667634</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24589</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924669</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0.19465582759132494</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16488</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924669</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0.27615099258242382</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106045</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924669</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2.4222730946246096</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50059</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924669</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0.27742799332967127</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874610</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924669</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1.1751887473525622</v>
      </c>
    </row>
    <row r="12" spans="1:28" x14ac:dyDescent="0.25">
      <c r="A12" s="4" t="s">
        <v>319</v>
      </c>
    </row>
    <row r="13" spans="1:28" x14ac:dyDescent="0.25">
      <c r="A13" s="4" t="s">
        <v>320</v>
      </c>
      <c r="B13" s="37">
        <f>INDEX(Census_pop_2020_2025!G:G, MATCH("."&amp;About!$B$1, Census_pop_2020_2025!A:A, 0))</f>
        <v>927110</v>
      </c>
      <c r="C13" s="37">
        <f>INDEX(Census_pop_2020_2025!H:H, MATCH("."&amp;About!$B$1, Census_pop_2020_2025!A:A, 0))</f>
        <v>935094</v>
      </c>
      <c r="D13" s="37">
        <f>INDEX(Census_pop_2020_2025!H:H, MATCH("."&amp;About!$B$1, Census_pop_2020_2025!A:A, 0))+0.2*(INDEX(Cooper_pop_2030_2050!D:D, MATCH(About!$B$1, Cooper_pop_2030_2050!B:B, 0))-INDEX(Census_pop_2020_2025!H:H, MATCH("."&amp;About!$B$1, Census_pop_2020_2025!A:A, 0)))</f>
        <v>936927.00669864158</v>
      </c>
      <c r="E13" s="37">
        <f>INDEX(Census_pop_2020_2025!H:H, MATCH("."&amp;About!$B$1, Census_pop_2020_2025!A:A, 0))+0.4*(INDEX(Cooper_pop_2030_2050!D:D, MATCH(About!$B$1, Cooper_pop_2030_2050!B:B, 0))-INDEX(Census_pop_2020_2025!H:H, MATCH("."&amp;About!$B$1, Census_pop_2020_2025!A:A, 0)))</f>
        <v>938760.01339728315</v>
      </c>
      <c r="F13" s="37">
        <f>INDEX(Census_pop_2020_2025!H:H, MATCH("."&amp;About!$B$1, Census_pop_2020_2025!A:A, 0))+0.6*(INDEX(Cooper_pop_2030_2050!D:D, MATCH(About!$B$1, Cooper_pop_2030_2050!B:B, 0))-INDEX(Census_pop_2020_2025!H:H, MATCH("."&amp;About!$B$1, Census_pop_2020_2025!A:A, 0)))</f>
        <v>940593.02009592485</v>
      </c>
      <c r="G13" s="37">
        <f>INDEX(Census_pop_2020_2025!H:H, MATCH("."&amp;About!$B$1, Census_pop_2020_2025!A:A, 0))+0.8*(INDEX(Cooper_pop_2030_2050!D:D, MATCH(About!$B$1, Cooper_pop_2030_2050!B:B, 0))-INDEX(Census_pop_2020_2025!H:H, MATCH("."&amp;About!$B$1, Census_pop_2020_2025!A:A, 0)))</f>
        <v>942426.02679456642</v>
      </c>
      <c r="H13" s="37">
        <f>INDEX(Cooper_pop_2030_2050!D:D, MATCH(About!$B$1, Cooper_pop_2030_2050!B:B, 0))</f>
        <v>944259.033493208</v>
      </c>
      <c r="I13" s="37">
        <f>INDEX(Cooper_pop_2030_2050!D:D, MATCH(About!$B$1, Cooper_pop_2030_2050!B:B, 0))+0.1*(INDEX(Cooper_pop_2030_2050!E:E, MATCH(About!$B$1, Cooper_pop_2030_2050!B:B, 0))-INDEX(Cooper_pop_2030_2050!D:D, MATCH(About!$B$1, Cooper_pop_2030_2050!B:B, 0)))</f>
        <v>948701.50345192209</v>
      </c>
      <c r="J13" s="37">
        <f>INDEX(Cooper_pop_2030_2050!D:D, MATCH(About!$B$1, Cooper_pop_2030_2050!B:B, 0))+0.2*(INDEX(Cooper_pop_2030_2050!E:E, MATCH(About!$B$1, Cooper_pop_2030_2050!B:B, 0))-INDEX(Cooper_pop_2030_2050!D:D, MATCH(About!$B$1, Cooper_pop_2030_2050!B:B, 0)))</f>
        <v>953143.97341063619</v>
      </c>
      <c r="K13" s="37">
        <f>INDEX(Cooper_pop_2030_2050!D:D, MATCH(About!$B$1, Cooper_pop_2030_2050!B:B, 0))+0.3*(INDEX(Cooper_pop_2030_2050!E:E, MATCH(About!$B$1, Cooper_pop_2030_2050!B:B, 0))-INDEX(Cooper_pop_2030_2050!D:D, MATCH(About!$B$1, Cooper_pop_2030_2050!B:B, 0)))</f>
        <v>957586.44336935028</v>
      </c>
      <c r="L13" s="37">
        <f>INDEX(Cooper_pop_2030_2050!D:D, MATCH(About!$B$1, Cooper_pop_2030_2050!B:B, 0))+0.4*(INDEX(Cooper_pop_2030_2050!E:E, MATCH(About!$B$1, Cooper_pop_2030_2050!B:B, 0))-INDEX(Cooper_pop_2030_2050!D:D, MATCH(About!$B$1, Cooper_pop_2030_2050!B:B, 0)))</f>
        <v>962028.91332806437</v>
      </c>
      <c r="M13" s="37">
        <f>INDEX(Cooper_pop_2030_2050!D:D, MATCH(About!$B$1, Cooper_pop_2030_2050!B:B, 0))+0.5*(INDEX(Cooper_pop_2030_2050!E:E, MATCH(About!$B$1, Cooper_pop_2030_2050!B:B, 0))-INDEX(Cooper_pop_2030_2050!D:D, MATCH(About!$B$1, Cooper_pop_2030_2050!B:B, 0)))</f>
        <v>966471.38328677858</v>
      </c>
      <c r="N13" s="37">
        <f>INDEX(Cooper_pop_2030_2050!D:D, MATCH(About!$B$1, Cooper_pop_2030_2050!B:B, 0))+0.6*(INDEX(Cooper_pop_2030_2050!E:E, MATCH(About!$B$1, Cooper_pop_2030_2050!B:B, 0))-INDEX(Cooper_pop_2030_2050!D:D, MATCH(About!$B$1, Cooper_pop_2030_2050!B:B, 0)))</f>
        <v>970913.85324549268</v>
      </c>
      <c r="O13" s="37">
        <f>INDEX(Cooper_pop_2030_2050!D:D, MATCH(About!$B$1, Cooper_pop_2030_2050!B:B, 0))+0.7*(INDEX(Cooper_pop_2030_2050!E:E, MATCH(About!$B$1, Cooper_pop_2030_2050!B:B, 0))-INDEX(Cooper_pop_2030_2050!D:D, MATCH(About!$B$1, Cooper_pop_2030_2050!B:B, 0)))</f>
        <v>975356.32320420677</v>
      </c>
      <c r="P13" s="37">
        <f>INDEX(Cooper_pop_2030_2050!D:D, MATCH(About!$B$1, Cooper_pop_2030_2050!B:B, 0))+0.8*(INDEX(Cooper_pop_2030_2050!E:E, MATCH(About!$B$1, Cooper_pop_2030_2050!B:B, 0))-INDEX(Cooper_pop_2030_2050!D:D, MATCH(About!$B$1, Cooper_pop_2030_2050!B:B, 0)))</f>
        <v>979798.79316292086</v>
      </c>
      <c r="Q13" s="37">
        <f>INDEX(Cooper_pop_2030_2050!D:D, MATCH(About!$B$1, Cooper_pop_2030_2050!B:B, 0))+0.9*(INDEX(Cooper_pop_2030_2050!E:E, MATCH(About!$B$1, Cooper_pop_2030_2050!B:B, 0))-INDEX(Cooper_pop_2030_2050!D:D, MATCH(About!$B$1, Cooper_pop_2030_2050!B:B, 0)))</f>
        <v>984241.26312163495</v>
      </c>
      <c r="R13" s="37">
        <f>INDEX(Cooper_pop_2030_2050!E:E, MATCH(About!$B$1, Cooper_pop_2030_2050!B:B, 0))</f>
        <v>988683.73308034905</v>
      </c>
      <c r="S13" s="37">
        <f>INDEX(Cooper_pop_2030_2050!E:E, MATCH(About!$B$1, Cooper_pop_2030_2050!B:B, 0))+0.1*(INDEX(Cooper_pop_2030_2050!F:F, MATCH(About!$B$1, Cooper_pop_2030_2050!B:B, 0))-INDEX(Cooper_pop_2030_2050!E:E, MATCH(About!$B$1, Cooper_pop_2030_2050!B:B, 0)))</f>
        <v>992122.17366225738</v>
      </c>
      <c r="T13" s="37">
        <f>INDEX(Cooper_pop_2030_2050!E:E, MATCH(About!$B$1, Cooper_pop_2030_2050!B:B, 0))+0.2*(INDEX(Cooper_pop_2030_2050!F:F, MATCH(About!$B$1, Cooper_pop_2030_2050!B:B, 0))-INDEX(Cooper_pop_2030_2050!E:E, MATCH(About!$B$1, Cooper_pop_2030_2050!B:B, 0)))</f>
        <v>995560.61424416583</v>
      </c>
      <c r="U13" s="37">
        <f>INDEX(Cooper_pop_2030_2050!E:E, MATCH(About!$B$1, Cooper_pop_2030_2050!B:B, 0))+0.3*(INDEX(Cooper_pop_2030_2050!F:F, MATCH(About!$B$1, Cooper_pop_2030_2050!B:B, 0))-INDEX(Cooper_pop_2030_2050!E:E, MATCH(About!$B$1, Cooper_pop_2030_2050!B:B, 0)))</f>
        <v>998999.05482607428</v>
      </c>
      <c r="V13" s="37">
        <f>INDEX(Cooper_pop_2030_2050!E:E, MATCH(About!$B$1, Cooper_pop_2030_2050!B:B, 0))+0.4*(INDEX(Cooper_pop_2030_2050!F:F, MATCH(About!$B$1, Cooper_pop_2030_2050!B:B, 0))-INDEX(Cooper_pop_2030_2050!E:E, MATCH(About!$B$1, Cooper_pop_2030_2050!B:B, 0)))</f>
        <v>1002437.4954079826</v>
      </c>
      <c r="W13" s="37">
        <f>INDEX(Cooper_pop_2030_2050!E:E, MATCH(About!$B$1, Cooper_pop_2030_2050!B:B, 0))+0.5*(INDEX(Cooper_pop_2030_2050!F:F, MATCH(About!$B$1, Cooper_pop_2030_2050!B:B, 0))-INDEX(Cooper_pop_2030_2050!E:E, MATCH(About!$B$1, Cooper_pop_2030_2050!B:B, 0)))</f>
        <v>1005875.9359898909</v>
      </c>
      <c r="X13" s="37">
        <f>INDEX(Cooper_pop_2030_2050!E:E, MATCH(About!$B$1, Cooper_pop_2030_2050!B:B, 0))+0.6*(INDEX(Cooper_pop_2030_2050!F:F, MATCH(About!$B$1, Cooper_pop_2030_2050!B:B, 0))-INDEX(Cooper_pop_2030_2050!E:E, MATCH(About!$B$1, Cooper_pop_2030_2050!B:B, 0)))</f>
        <v>1009314.3765717994</v>
      </c>
      <c r="Y13" s="37">
        <f>INDEX(Cooper_pop_2030_2050!E:E, MATCH(About!$B$1, Cooper_pop_2030_2050!B:B, 0))+0.7*(INDEX(Cooper_pop_2030_2050!F:F, MATCH(About!$B$1, Cooper_pop_2030_2050!B:B, 0))-INDEX(Cooper_pop_2030_2050!E:E, MATCH(About!$B$1, Cooper_pop_2030_2050!B:B, 0)))</f>
        <v>1012752.8171537078</v>
      </c>
      <c r="Z13" s="37">
        <f>INDEX(Cooper_pop_2030_2050!E:E, MATCH(About!$B$1, Cooper_pop_2030_2050!B:B, 0))+0.8*(INDEX(Cooper_pop_2030_2050!F:F, MATCH(About!$B$1, Cooper_pop_2030_2050!B:B, 0))-INDEX(Cooper_pop_2030_2050!E:E, MATCH(About!$B$1, Cooper_pop_2030_2050!B:B, 0)))</f>
        <v>1016191.2577356162</v>
      </c>
      <c r="AA13" s="37">
        <f>INDEX(Cooper_pop_2030_2050!E:E, MATCH(About!$B$1, Cooper_pop_2030_2050!B:B, 0))+0.9*(INDEX(Cooper_pop_2030_2050!F:F, MATCH(About!$B$1, Cooper_pop_2030_2050!B:B, 0))-INDEX(Cooper_pop_2030_2050!E:E, MATCH(About!$B$1, Cooper_pop_2030_2050!B:B, 0)))</f>
        <v>1019629.6983175245</v>
      </c>
      <c r="AB13" s="37">
        <f>INDEX(Cooper_pop_2030_2050!F:F, MATCH(About!$B$1, Cooper_pop_2030_2050!B:B, 0))</f>
        <v>1023068.138899433</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2.7553020283678153E-3</v>
      </c>
      <c r="C15" s="39">
        <f t="shared" si="1"/>
        <v>2.7664172213680408E-3</v>
      </c>
      <c r="D15" s="39">
        <f t="shared" si="1"/>
        <v>2.7596200514140527E-3</v>
      </c>
      <c r="E15" s="39">
        <f t="shared" si="1"/>
        <v>2.7532001284864341E-3</v>
      </c>
      <c r="F15" s="39">
        <f t="shared" si="1"/>
        <v>2.7471811928598826E-3</v>
      </c>
      <c r="G15" s="39">
        <f t="shared" si="1"/>
        <v>2.7415727519774944E-3</v>
      </c>
      <c r="H15" s="39">
        <f t="shared" si="1"/>
        <v>2.7363992182165794E-3</v>
      </c>
      <c r="I15" s="39">
        <f t="shared" si="1"/>
        <v>2.7392259615471207E-3</v>
      </c>
      <c r="J15" s="39">
        <f t="shared" si="1"/>
        <v>2.7425044372533093E-3</v>
      </c>
      <c r="K15" s="39">
        <f t="shared" si="1"/>
        <v>2.7461470242355675E-3</v>
      </c>
      <c r="L15" s="39">
        <f t="shared" si="1"/>
        <v>2.7501654740213965E-3</v>
      </c>
      <c r="M15" s="39">
        <f t="shared" si="1"/>
        <v>2.7545699063244605E-3</v>
      </c>
      <c r="N15" s="39">
        <f t="shared" si="1"/>
        <v>2.7593680679873713E-3</v>
      </c>
      <c r="O15" s="39">
        <f t="shared" si="1"/>
        <v>2.7645680438243927E-3</v>
      </c>
      <c r="P15" s="39">
        <f t="shared" si="1"/>
        <v>2.7701746591419179E-3</v>
      </c>
      <c r="Q15" s="39">
        <f t="shared" si="1"/>
        <v>2.7761872654533128E-3</v>
      </c>
      <c r="R15" s="39">
        <f t="shared" si="1"/>
        <v>2.7826020746984188E-3</v>
      </c>
      <c r="S15" s="39">
        <f t="shared" si="1"/>
        <v>2.7865974798398628E-3</v>
      </c>
      <c r="T15" s="39">
        <f t="shared" si="1"/>
        <v>2.7909880718362643E-3</v>
      </c>
      <c r="U15" s="39">
        <f t="shared" si="1"/>
        <v>2.7957526617446641E-3</v>
      </c>
      <c r="V15" s="39">
        <f t="shared" si="1"/>
        <v>2.8008605456476409E-3</v>
      </c>
      <c r="W15" s="39">
        <f t="shared" si="1"/>
        <v>2.8062761530846256E-3</v>
      </c>
      <c r="X15" s="39">
        <f t="shared" si="1"/>
        <v>2.811962441531278E-3</v>
      </c>
      <c r="Y15" s="39">
        <f t="shared" si="1"/>
        <v>2.817896219636718E-3</v>
      </c>
      <c r="Z15" s="39">
        <f t="shared" si="1"/>
        <v>2.8240418608297593E-3</v>
      </c>
      <c r="AA15" s="39">
        <f t="shared" si="1"/>
        <v>2.8303627899142814E-3</v>
      </c>
      <c r="AB15" s="39">
        <f t="shared" si="1"/>
        <v>2.8368226772319829E-3</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26.621541078725336</v>
      </c>
      <c r="C48" s="37">
        <f t="shared" si="10"/>
        <v>26.527282528534176</v>
      </c>
      <c r="D48" s="37">
        <f t="shared" si="10"/>
        <v>26.258113676105257</v>
      </c>
      <c r="E48" s="37">
        <f t="shared" si="10"/>
        <v>25.993511378775246</v>
      </c>
      <c r="F48" s="37">
        <f t="shared" si="10"/>
        <v>25.727973497856198</v>
      </c>
      <c r="G48" s="37">
        <f t="shared" si="10"/>
        <v>25.461534014646805</v>
      </c>
      <c r="H48" s="37">
        <f t="shared" si="10"/>
        <v>25.194356156400012</v>
      </c>
      <c r="I48" s="37">
        <f t="shared" si="10"/>
        <v>25.009462531935565</v>
      </c>
      <c r="J48" s="37">
        <f t="shared" si="10"/>
        <v>24.808513769608517</v>
      </c>
      <c r="K48" s="37">
        <f t="shared" si="10"/>
        <v>24.61309544375742</v>
      </c>
      <c r="L48" s="37">
        <f t="shared" si="10"/>
        <v>24.403467830953932</v>
      </c>
      <c r="M48" s="37">
        <f t="shared" si="10"/>
        <v>24.199340903682131</v>
      </c>
      <c r="N48" s="37">
        <f t="shared" si="10"/>
        <v>24.003526313055492</v>
      </c>
      <c r="O48" s="37">
        <f t="shared" si="10"/>
        <v>23.776285455609155</v>
      </c>
      <c r="P48" s="37">
        <f t="shared" si="10"/>
        <v>23.560008863580251</v>
      </c>
      <c r="Q48" s="37">
        <f t="shared" si="10"/>
        <v>23.328974512859254</v>
      </c>
      <c r="R48" s="37">
        <f t="shared" si="10"/>
        <v>23.097200055468601</v>
      </c>
      <c r="S48" s="37">
        <f t="shared" si="10"/>
        <v>22.835691676025501</v>
      </c>
      <c r="T48" s="37">
        <f t="shared" si="10"/>
        <v>22.57653499686019</v>
      </c>
      <c r="U48" s="37">
        <f t="shared" si="10"/>
        <v>22.319435490785992</v>
      </c>
      <c r="V48" s="37">
        <f t="shared" si="10"/>
        <v>22.064032638157546</v>
      </c>
      <c r="W48" s="37">
        <f t="shared" si="10"/>
        <v>21.812822186485047</v>
      </c>
      <c r="X48" s="37">
        <f t="shared" si="10"/>
        <v>21.585648634303745</v>
      </c>
      <c r="Y48" s="37">
        <f t="shared" si="10"/>
        <v>21.359253492301153</v>
      </c>
      <c r="Z48" s="37">
        <f t="shared" si="10"/>
        <v>21.147795207654902</v>
      </c>
      <c r="AA48" s="37">
        <f t="shared" si="10"/>
        <v>20.939416285706073</v>
      </c>
      <c r="AB48" s="37">
        <f t="shared" si="10"/>
        <v>20.730910695206337</v>
      </c>
    </row>
    <row r="49" spans="1:28" x14ac:dyDescent="0.25">
      <c r="A49" s="4" t="s">
        <v>216</v>
      </c>
      <c r="B49" s="37">
        <f t="shared" ref="B49:AB49" si="11">B29*B15*$F$5</f>
        <v>20.133769120578016</v>
      </c>
      <c r="C49" s="37">
        <f t="shared" si="11"/>
        <v>20.104541260342078</v>
      </c>
      <c r="D49" s="37">
        <f t="shared" si="11"/>
        <v>19.944965467880078</v>
      </c>
      <c r="E49" s="37">
        <f t="shared" si="11"/>
        <v>19.785962872597178</v>
      </c>
      <c r="F49" s="37">
        <f t="shared" si="11"/>
        <v>19.625000394885117</v>
      </c>
      <c r="G49" s="37">
        <f t="shared" si="11"/>
        <v>19.467468555628983</v>
      </c>
      <c r="H49" s="37">
        <f t="shared" si="11"/>
        <v>19.310822228079516</v>
      </c>
      <c r="I49" s="37">
        <f t="shared" si="11"/>
        <v>19.19739976313701</v>
      </c>
      <c r="J49" s="37">
        <f t="shared" si="11"/>
        <v>19.094857757717762</v>
      </c>
      <c r="K49" s="37">
        <f t="shared" si="11"/>
        <v>18.978489197826548</v>
      </c>
      <c r="L49" s="37">
        <f t="shared" si="11"/>
        <v>18.869678956228249</v>
      </c>
      <c r="M49" s="37">
        <f t="shared" si="11"/>
        <v>18.747004594320462</v>
      </c>
      <c r="N49" s="37">
        <f t="shared" si="11"/>
        <v>18.613063917008311</v>
      </c>
      <c r="O49" s="37">
        <f t="shared" si="11"/>
        <v>18.49469047952498</v>
      </c>
      <c r="P49" s="37">
        <f t="shared" si="11"/>
        <v>18.351462049429294</v>
      </c>
      <c r="Q49" s="37">
        <f t="shared" si="11"/>
        <v>18.215571910043277</v>
      </c>
      <c r="R49" s="37">
        <f t="shared" si="11"/>
        <v>18.067985884331232</v>
      </c>
      <c r="S49" s="37">
        <f t="shared" si="11"/>
        <v>17.903980577341169</v>
      </c>
      <c r="T49" s="37">
        <f t="shared" si="11"/>
        <v>17.736507083659234</v>
      </c>
      <c r="U49" s="37">
        <f t="shared" si="11"/>
        <v>17.570768424119798</v>
      </c>
      <c r="V49" s="37">
        <f t="shared" si="11"/>
        <v>17.41194998897711</v>
      </c>
      <c r="W49" s="37">
        <f t="shared" si="11"/>
        <v>17.257059937381928</v>
      </c>
      <c r="X49" s="37">
        <f t="shared" si="11"/>
        <v>17.100350229714113</v>
      </c>
      <c r="Y49" s="37">
        <f t="shared" si="11"/>
        <v>16.955329595891524</v>
      </c>
      <c r="Z49" s="37">
        <f t="shared" si="11"/>
        <v>16.808057394565509</v>
      </c>
      <c r="AA49" s="37">
        <f t="shared" si="11"/>
        <v>16.669283597108244</v>
      </c>
      <c r="AB49" s="37">
        <f t="shared" si="11"/>
        <v>16.547106389282771</v>
      </c>
    </row>
    <row r="50" spans="1:28" x14ac:dyDescent="0.25">
      <c r="A50" s="4" t="s">
        <v>217</v>
      </c>
      <c r="B50" s="37">
        <f t="shared" ref="B50:AB50" si="12">B30*B15*$F$6</f>
        <v>30.393833354333303</v>
      </c>
      <c r="C50" s="37">
        <f t="shared" si="12"/>
        <v>30.31523130225268</v>
      </c>
      <c r="D50" s="37">
        <f t="shared" si="12"/>
        <v>30.043114120328273</v>
      </c>
      <c r="E50" s="37">
        <f t="shared" si="12"/>
        <v>29.769888833003183</v>
      </c>
      <c r="F50" s="37">
        <f t="shared" si="12"/>
        <v>29.498843930542023</v>
      </c>
      <c r="G50" s="37">
        <f t="shared" si="12"/>
        <v>29.233078596720549</v>
      </c>
      <c r="H50" s="37">
        <f t="shared" si="12"/>
        <v>28.96051093157033</v>
      </c>
      <c r="I50" s="37">
        <f t="shared" si="12"/>
        <v>28.775865325708722</v>
      </c>
      <c r="J50" s="37">
        <f t="shared" si="12"/>
        <v>28.580142779207637</v>
      </c>
      <c r="K50" s="37">
        <f t="shared" si="12"/>
        <v>28.375342177048569</v>
      </c>
      <c r="L50" s="37">
        <f t="shared" si="12"/>
        <v>28.158360962101995</v>
      </c>
      <c r="M50" s="37">
        <f t="shared" si="12"/>
        <v>27.929128302715494</v>
      </c>
      <c r="N50" s="37">
        <f t="shared" si="12"/>
        <v>27.687532682398967</v>
      </c>
      <c r="O50" s="37">
        <f t="shared" si="12"/>
        <v>27.424168949658448</v>
      </c>
      <c r="P50" s="37">
        <f t="shared" si="12"/>
        <v>27.151206367881663</v>
      </c>
      <c r="Q50" s="37">
        <f t="shared" si="12"/>
        <v>26.865312142494513</v>
      </c>
      <c r="R50" s="37">
        <f t="shared" si="12"/>
        <v>26.566197904666119</v>
      </c>
      <c r="S50" s="37">
        <f t="shared" si="12"/>
        <v>26.233279180525109</v>
      </c>
      <c r="T50" s="37">
        <f t="shared" si="12"/>
        <v>25.902964099971214</v>
      </c>
      <c r="U50" s="37">
        <f t="shared" si="12"/>
        <v>25.574900961965259</v>
      </c>
      <c r="V50" s="37">
        <f t="shared" si="12"/>
        <v>25.251797721725129</v>
      </c>
      <c r="W50" s="37">
        <f t="shared" si="12"/>
        <v>24.939499910750964</v>
      </c>
      <c r="X50" s="37">
        <f t="shared" si="12"/>
        <v>24.640765282582088</v>
      </c>
      <c r="Y50" s="37">
        <f t="shared" si="12"/>
        <v>24.349062471061746</v>
      </c>
      <c r="Z50" s="37">
        <f t="shared" si="12"/>
        <v>24.067197261111716</v>
      </c>
      <c r="AA50" s="37">
        <f t="shared" si="12"/>
        <v>23.801182981755282</v>
      </c>
      <c r="AB50" s="37">
        <f t="shared" si="12"/>
        <v>23.544415924331922</v>
      </c>
    </row>
    <row r="51" spans="1:28" x14ac:dyDescent="0.25">
      <c r="A51" s="4" t="s">
        <v>218</v>
      </c>
      <c r="B51" s="37">
        <f t="shared" ref="B51:AB51" si="13">B31*B15*$F$7</f>
        <v>2.508977920876057</v>
      </c>
      <c r="C51" s="37">
        <f t="shared" si="13"/>
        <v>2.4851739634714565</v>
      </c>
      <c r="D51" s="37">
        <f t="shared" si="13"/>
        <v>2.4457628968773943</v>
      </c>
      <c r="E51" s="37">
        <f t="shared" si="13"/>
        <v>2.4057738319629247</v>
      </c>
      <c r="F51" s="37">
        <f t="shared" si="13"/>
        <v>2.3652206070723478</v>
      </c>
      <c r="G51" s="37">
        <f t="shared" si="13"/>
        <v>2.3251701830708895</v>
      </c>
      <c r="H51" s="37">
        <f t="shared" si="13"/>
        <v>2.2840291614481654</v>
      </c>
      <c r="I51" s="37">
        <f t="shared" si="13"/>
        <v>2.250130571249402</v>
      </c>
      <c r="J51" s="37">
        <f t="shared" si="13"/>
        <v>2.2165222432034719</v>
      </c>
      <c r="K51" s="37">
        <f t="shared" si="13"/>
        <v>2.1831165825820769</v>
      </c>
      <c r="L51" s="37">
        <f t="shared" si="13"/>
        <v>2.1509789886893507</v>
      </c>
      <c r="M51" s="37">
        <f t="shared" si="13"/>
        <v>2.1206436502801664</v>
      </c>
      <c r="N51" s="37">
        <f t="shared" si="13"/>
        <v>2.0904985755230876</v>
      </c>
      <c r="O51" s="37">
        <f t="shared" si="13"/>
        <v>2.0621497228881376</v>
      </c>
      <c r="P51" s="37">
        <f t="shared" si="13"/>
        <v>2.0339779772778508</v>
      </c>
      <c r="Q51" s="37">
        <f t="shared" si="13"/>
        <v>2.0070494243255284</v>
      </c>
      <c r="R51" s="37">
        <f t="shared" si="13"/>
        <v>1.9808129884012726</v>
      </c>
      <c r="S51" s="37">
        <f t="shared" si="13"/>
        <v>1.952738778967664</v>
      </c>
      <c r="T51" s="37">
        <f t="shared" si="13"/>
        <v>1.9253917373113303</v>
      </c>
      <c r="U51" s="37">
        <f t="shared" si="13"/>
        <v>1.8982029038165993</v>
      </c>
      <c r="V51" s="37">
        <f t="shared" si="13"/>
        <v>1.8722299435695184</v>
      </c>
      <c r="W51" s="37">
        <f t="shared" si="13"/>
        <v>1.845805805749259</v>
      </c>
      <c r="X51" s="37">
        <f t="shared" si="13"/>
        <v>1.8205355782810906</v>
      </c>
      <c r="Y51" s="37">
        <f t="shared" si="13"/>
        <v>1.7969512602127127</v>
      </c>
      <c r="Z51" s="37">
        <f t="shared" si="13"/>
        <v>1.7733844791764399</v>
      </c>
      <c r="AA51" s="37">
        <f t="shared" si="13"/>
        <v>1.7509083305666606</v>
      </c>
      <c r="AB51" s="37">
        <f t="shared" si="13"/>
        <v>1.728398726474925</v>
      </c>
    </row>
    <row r="52" spans="1:28" x14ac:dyDescent="0.25">
      <c r="A52" s="4" t="s">
        <v>219</v>
      </c>
      <c r="B52" s="37">
        <f t="shared" ref="B52:AB52" si="14">B32*B15*$F$8</f>
        <v>0.65511715478839672</v>
      </c>
      <c r="C52" s="37">
        <f t="shared" si="14"/>
        <v>0.66005181640330157</v>
      </c>
      <c r="D52" s="37">
        <f t="shared" si="14"/>
        <v>0.66071626477401957</v>
      </c>
      <c r="E52" s="37">
        <f t="shared" si="14"/>
        <v>0.66222038393409899</v>
      </c>
      <c r="F52" s="37">
        <f t="shared" si="14"/>
        <v>0.66380721156052069</v>
      </c>
      <c r="G52" s="37">
        <f t="shared" si="14"/>
        <v>0.66548038425535527</v>
      </c>
      <c r="H52" s="37">
        <f t="shared" si="14"/>
        <v>0.66724721506744056</v>
      </c>
      <c r="I52" s="37">
        <f t="shared" si="14"/>
        <v>0.67096225178344937</v>
      </c>
      <c r="J52" s="37">
        <f t="shared" si="14"/>
        <v>0.67479468235569984</v>
      </c>
      <c r="K52" s="37">
        <f t="shared" si="14"/>
        <v>0.68024105018836944</v>
      </c>
      <c r="L52" s="37">
        <f t="shared" si="14"/>
        <v>0.68427429380064553</v>
      </c>
      <c r="M52" s="37">
        <f t="shared" si="14"/>
        <v>0.68841287846110244</v>
      </c>
      <c r="N52" s="37">
        <f t="shared" si="14"/>
        <v>0.69266002786533654</v>
      </c>
      <c r="O52" s="37">
        <f t="shared" si="14"/>
        <v>0.69701908514910904</v>
      </c>
      <c r="P52" s="37">
        <f t="shared" si="14"/>
        <v>0.70072761728182587</v>
      </c>
      <c r="Q52" s="37">
        <f t="shared" si="14"/>
        <v>0.70531511943364789</v>
      </c>
      <c r="R52" s="37">
        <f t="shared" si="14"/>
        <v>0.70848169554846951</v>
      </c>
      <c r="S52" s="37">
        <f t="shared" si="14"/>
        <v>0.7118075354865494</v>
      </c>
      <c r="T52" s="37">
        <f t="shared" si="14"/>
        <v>0.71601200335433601</v>
      </c>
      <c r="U52" s="37">
        <f t="shared" si="14"/>
        <v>0.71877843134939623</v>
      </c>
      <c r="V52" s="37">
        <f t="shared" si="14"/>
        <v>0.72241203206101923</v>
      </c>
      <c r="W52" s="37">
        <f t="shared" si="14"/>
        <v>0.72613372059121895</v>
      </c>
      <c r="X52" s="37">
        <f t="shared" si="14"/>
        <v>0.72915811995402346</v>
      </c>
      <c r="Y52" s="37">
        <f t="shared" si="14"/>
        <v>0.73380944227826395</v>
      </c>
      <c r="Z52" s="37">
        <f t="shared" si="14"/>
        <v>0.73696955499951822</v>
      </c>
      <c r="AA52" s="37">
        <f t="shared" si="14"/>
        <v>0.74018229663161816</v>
      </c>
      <c r="AB52" s="37">
        <f t="shared" si="14"/>
        <v>0.74343843679494592</v>
      </c>
    </row>
    <row r="53" spans="1:28" x14ac:dyDescent="0.25">
      <c r="A53" s="4" t="s">
        <v>220</v>
      </c>
      <c r="B53" s="37">
        <f t="shared" ref="B53:AB53" si="15">B33*B15*$F$9</f>
        <v>10.131274647795797</v>
      </c>
      <c r="C53" s="37">
        <f t="shared" si="15"/>
        <v>10.259258563857571</v>
      </c>
      <c r="D53" s="37">
        <f t="shared" si="15"/>
        <v>10.300896792369263</v>
      </c>
      <c r="E53" s="37">
        <f t="shared" si="15"/>
        <v>10.356961030578097</v>
      </c>
      <c r="F53" s="37">
        <f t="shared" si="15"/>
        <v>10.407517712014339</v>
      </c>
      <c r="G53" s="37">
        <f t="shared" si="15"/>
        <v>10.446038038833734</v>
      </c>
      <c r="H53" s="37">
        <f t="shared" si="15"/>
        <v>10.512493637066409</v>
      </c>
      <c r="I53" s="37">
        <f t="shared" si="15"/>
        <v>10.583069588070741</v>
      </c>
      <c r="J53" s="37">
        <f t="shared" si="15"/>
        <v>10.662167009946911</v>
      </c>
      <c r="K53" s="37">
        <f t="shared" si="15"/>
        <v>10.722891897711072</v>
      </c>
      <c r="L53" s="37">
        <f t="shared" si="15"/>
        <v>10.791875970249855</v>
      </c>
      <c r="M53" s="37">
        <f t="shared" si="15"/>
        <v>10.842520928447604</v>
      </c>
      <c r="N53" s="37">
        <f t="shared" si="15"/>
        <v>10.908195023739427</v>
      </c>
      <c r="O53" s="37">
        <f t="shared" si="15"/>
        <v>10.962234000563853</v>
      </c>
      <c r="P53" s="37">
        <f t="shared" si="15"/>
        <v>11.004596052570601</v>
      </c>
      <c r="Q53" s="37">
        <f t="shared" si="15"/>
        <v>11.035205982463873</v>
      </c>
      <c r="R53" s="37">
        <f t="shared" si="15"/>
        <v>11.067444751562478</v>
      </c>
      <c r="S53" s="37">
        <f t="shared" si="15"/>
        <v>11.083335965784272</v>
      </c>
      <c r="T53" s="37">
        <f t="shared" si="15"/>
        <v>11.073756844048955</v>
      </c>
      <c r="U53" s="37">
        <f t="shared" si="15"/>
        <v>11.079117075094473</v>
      </c>
      <c r="V53" s="37">
        <f t="shared" si="15"/>
        <v>11.072220998957185</v>
      </c>
      <c r="W53" s="37">
        <f t="shared" si="15"/>
        <v>11.066439436933365</v>
      </c>
      <c r="X53" s="37">
        <f t="shared" si="15"/>
        <v>11.075240409441445</v>
      </c>
      <c r="Y53" s="37">
        <f t="shared" si="15"/>
        <v>11.064482712154351</v>
      </c>
      <c r="Z53" s="37">
        <f t="shared" si="15"/>
        <v>11.074932399864515</v>
      </c>
      <c r="AA53" s="37">
        <f t="shared" si="15"/>
        <v>11.065441377334121</v>
      </c>
      <c r="AB53" s="37">
        <f t="shared" si="15"/>
        <v>11.076953503391337</v>
      </c>
    </row>
    <row r="54" spans="1:28" x14ac:dyDescent="0.25">
      <c r="A54" s="4" t="s">
        <v>221</v>
      </c>
      <c r="B54" s="37">
        <f t="shared" ref="B54:AB54" si="16">B34*B15*$F$10</f>
        <v>2.93605238286221</v>
      </c>
      <c r="C54" s="37">
        <f t="shared" si="16"/>
        <v>2.9601764480306625</v>
      </c>
      <c r="D54" s="37">
        <f t="shared" si="16"/>
        <v>2.9666839312124842</v>
      </c>
      <c r="E54" s="37">
        <f t="shared" si="16"/>
        <v>2.9742947801145534</v>
      </c>
      <c r="F54" s="37">
        <f t="shared" si="16"/>
        <v>2.9845596854780765</v>
      </c>
      <c r="G54" s="37">
        <f t="shared" si="16"/>
        <v>2.9921572328018873</v>
      </c>
      <c r="H54" s="37">
        <f t="shared" si="16"/>
        <v>2.9994164427759507</v>
      </c>
      <c r="I54" s="37">
        <f t="shared" si="16"/>
        <v>3.0146738944152052</v>
      </c>
      <c r="J54" s="37">
        <f t="shared" si="16"/>
        <v>3.0289339083478466</v>
      </c>
      <c r="K54" s="37">
        <f t="shared" si="16"/>
        <v>3.0420992268794333</v>
      </c>
      <c r="L54" s="37">
        <f t="shared" si="16"/>
        <v>3.0534175009067654</v>
      </c>
      <c r="M54" s="37">
        <f t="shared" si="16"/>
        <v>3.0628927648043658</v>
      </c>
      <c r="N54" s="37">
        <f t="shared" si="16"/>
        <v>3.0705245692443905</v>
      </c>
      <c r="O54" s="37">
        <f t="shared" si="16"/>
        <v>3.0763109134991811</v>
      </c>
      <c r="P54" s="37">
        <f t="shared" si="16"/>
        <v>3.0779386074180857</v>
      </c>
      <c r="Q54" s="37">
        <f t="shared" si="16"/>
        <v>3.0776874803997516</v>
      </c>
      <c r="R54" s="37">
        <f t="shared" si="16"/>
        <v>3.073219376787697</v>
      </c>
      <c r="S54" s="37">
        <f t="shared" si="16"/>
        <v>3.0660358631982865</v>
      </c>
      <c r="T54" s="37">
        <f t="shared" si="16"/>
        <v>3.0561550750369739</v>
      </c>
      <c r="U54" s="37">
        <f t="shared" si="16"/>
        <v>3.0435330793153006</v>
      </c>
      <c r="V54" s="37">
        <f t="shared" si="16"/>
        <v>3.0312218081443407</v>
      </c>
      <c r="W54" s="37">
        <f t="shared" si="16"/>
        <v>3.0152837231580532</v>
      </c>
      <c r="X54" s="37">
        <f t="shared" si="16"/>
        <v>3.0034508252688381</v>
      </c>
      <c r="Y54" s="37">
        <f t="shared" si="16"/>
        <v>2.9910263614095611</v>
      </c>
      <c r="Z54" s="37">
        <f t="shared" si="16"/>
        <v>2.9787463493432234</v>
      </c>
      <c r="AA54" s="37">
        <f t="shared" si="16"/>
        <v>2.9673534437101599</v>
      </c>
      <c r="AB54" s="37">
        <f t="shared" si="16"/>
        <v>2.957598697594368</v>
      </c>
    </row>
    <row r="55" spans="1:28" x14ac:dyDescent="0.25">
      <c r="A55" s="4" t="s">
        <v>222</v>
      </c>
      <c r="B55" s="37">
        <f t="shared" ref="B55:AB55" si="17">B35*B15*$F$11</f>
        <v>42.333611206349978</v>
      </c>
      <c r="C55" s="37">
        <f t="shared" si="17"/>
        <v>42.088253688434989</v>
      </c>
      <c r="D55" s="37">
        <f t="shared" si="17"/>
        <v>41.559998838266615</v>
      </c>
      <c r="E55" s="37">
        <f t="shared" si="17"/>
        <v>41.032989053043721</v>
      </c>
      <c r="F55" s="37">
        <f t="shared" si="17"/>
        <v>40.491300479685115</v>
      </c>
      <c r="G55" s="37">
        <f t="shared" si="17"/>
        <v>39.964019019129815</v>
      </c>
      <c r="H55" s="37">
        <f t="shared" si="17"/>
        <v>39.438394224500961</v>
      </c>
      <c r="I55" s="37">
        <f t="shared" si="17"/>
        <v>39.025240543349483</v>
      </c>
      <c r="J55" s="37">
        <f t="shared" si="17"/>
        <v>38.611065043610225</v>
      </c>
      <c r="K55" s="37">
        <f t="shared" si="17"/>
        <v>38.191170957966428</v>
      </c>
      <c r="L55" s="37">
        <f t="shared" si="17"/>
        <v>37.771957639861846</v>
      </c>
      <c r="M55" s="37">
        <f t="shared" si="17"/>
        <v>37.35011621684076</v>
      </c>
      <c r="N55" s="37">
        <f t="shared" si="17"/>
        <v>36.932002096314889</v>
      </c>
      <c r="O55" s="37">
        <f t="shared" si="17"/>
        <v>36.504519684830754</v>
      </c>
      <c r="P55" s="37">
        <f t="shared" si="17"/>
        <v>36.077208167058046</v>
      </c>
      <c r="Q55" s="37">
        <f t="shared" si="17"/>
        <v>35.649818669398343</v>
      </c>
      <c r="R55" s="37">
        <f t="shared" si="17"/>
        <v>35.225330268587861</v>
      </c>
      <c r="S55" s="37">
        <f t="shared" si="17"/>
        <v>34.758493710137358</v>
      </c>
      <c r="T55" s="37">
        <f t="shared" si="17"/>
        <v>34.3015892615879</v>
      </c>
      <c r="U55" s="37">
        <f t="shared" si="17"/>
        <v>33.860745027582809</v>
      </c>
      <c r="V55" s="37">
        <f t="shared" si="17"/>
        <v>33.42887816968787</v>
      </c>
      <c r="W55" s="37">
        <f t="shared" si="17"/>
        <v>33.02191432473078</v>
      </c>
      <c r="X55" s="37">
        <f t="shared" si="17"/>
        <v>32.622879105389956</v>
      </c>
      <c r="Y55" s="37">
        <f t="shared" si="17"/>
        <v>32.24134746411351</v>
      </c>
      <c r="Z55" s="37">
        <f t="shared" si="17"/>
        <v>31.873584411104943</v>
      </c>
      <c r="AA55" s="37">
        <f t="shared" si="17"/>
        <v>31.515844502969525</v>
      </c>
      <c r="AB55" s="37">
        <f t="shared" si="17"/>
        <v>31.171049527639518</v>
      </c>
    </row>
    <row r="57" spans="1:28" x14ac:dyDescent="0.25">
      <c r="A57" s="4" t="s">
        <v>327</v>
      </c>
    </row>
    <row r="58" spans="1:28" x14ac:dyDescent="0.25">
      <c r="A58" s="4" t="s">
        <v>215</v>
      </c>
      <c r="B58" s="37">
        <f t="shared" ref="B58:AB58" si="18">B38*B15*$F$4</f>
        <v>4221.4788407547348</v>
      </c>
      <c r="C58" s="37">
        <f t="shared" si="18"/>
        <v>4315.7133699187134</v>
      </c>
      <c r="D58" s="37">
        <f t="shared" si="18"/>
        <v>4381.4869852945176</v>
      </c>
      <c r="E58" s="37">
        <f t="shared" si="18"/>
        <v>4447.1828269937287</v>
      </c>
      <c r="F58" s="37">
        <f t="shared" si="18"/>
        <v>4513.1863319343938</v>
      </c>
      <c r="G58" s="37">
        <f t="shared" si="18"/>
        <v>4579.6337772793704</v>
      </c>
      <c r="H58" s="37">
        <f t="shared" si="18"/>
        <v>4646.2151678420496</v>
      </c>
      <c r="I58" s="37">
        <f t="shared" si="18"/>
        <v>4725.6663252545623</v>
      </c>
      <c r="J58" s="37">
        <f t="shared" si="18"/>
        <v>4804.6525574580537</v>
      </c>
      <c r="K58" s="37">
        <f t="shared" si="18"/>
        <v>4883.0887094597401</v>
      </c>
      <c r="L58" s="37">
        <f t="shared" si="18"/>
        <v>4960.5589475475335</v>
      </c>
      <c r="M58" s="37">
        <f t="shared" si="18"/>
        <v>5036.9753049978317</v>
      </c>
      <c r="N58" s="37">
        <f t="shared" si="18"/>
        <v>5111.8162334801464</v>
      </c>
      <c r="O58" s="37">
        <f t="shared" si="18"/>
        <v>5184.8792709665468</v>
      </c>
      <c r="P58" s="37">
        <f t="shared" si="18"/>
        <v>5255.4860138791028</v>
      </c>
      <c r="Q58" s="37">
        <f t="shared" si="18"/>
        <v>5323.5123720357378</v>
      </c>
      <c r="R58" s="37">
        <f t="shared" si="18"/>
        <v>5388.129684281741</v>
      </c>
      <c r="S58" s="37">
        <f t="shared" si="18"/>
        <v>5443.8606747337917</v>
      </c>
      <c r="T58" s="37">
        <f t="shared" si="18"/>
        <v>5495.8231926847157</v>
      </c>
      <c r="U58" s="37">
        <f t="shared" si="18"/>
        <v>5544.2815317875093</v>
      </c>
      <c r="V58" s="37">
        <f t="shared" si="18"/>
        <v>5587.8679504461452</v>
      </c>
      <c r="W58" s="37">
        <f t="shared" si="18"/>
        <v>5626.8668423698518</v>
      </c>
      <c r="X58" s="37">
        <f t="shared" si="18"/>
        <v>5660.9222408042106</v>
      </c>
      <c r="Y58" s="37">
        <f t="shared" si="18"/>
        <v>5692.32640013521</v>
      </c>
      <c r="Z58" s="37">
        <f t="shared" si="18"/>
        <v>5718.9622481875695</v>
      </c>
      <c r="AA58" s="37">
        <f t="shared" si="18"/>
        <v>5741.1311489488608</v>
      </c>
      <c r="AB58" s="37">
        <f t="shared" si="18"/>
        <v>5759.3050353384342</v>
      </c>
    </row>
    <row r="59" spans="1:28" x14ac:dyDescent="0.25">
      <c r="A59" s="4" t="s">
        <v>216</v>
      </c>
      <c r="B59" s="37">
        <f t="shared" ref="B59:AB59" si="19">B39*B15*$F$5</f>
        <v>3762.5195689806396</v>
      </c>
      <c r="C59" s="37">
        <f t="shared" si="19"/>
        <v>3836.5461335860314</v>
      </c>
      <c r="D59" s="37">
        <f t="shared" si="19"/>
        <v>3885.5329520355435</v>
      </c>
      <c r="E59" s="37">
        <f t="shared" si="19"/>
        <v>3936.4870201474746</v>
      </c>
      <c r="F59" s="37">
        <f t="shared" si="19"/>
        <v>3990.5148362931</v>
      </c>
      <c r="G59" s="37">
        <f t="shared" si="19"/>
        <v>4047.8185173965994</v>
      </c>
      <c r="H59" s="37">
        <f t="shared" si="19"/>
        <v>4108.7631391822606</v>
      </c>
      <c r="I59" s="37">
        <f t="shared" si="19"/>
        <v>4184.4676559712352</v>
      </c>
      <c r="J59" s="37">
        <f t="shared" si="19"/>
        <v>4263.5532523327538</v>
      </c>
      <c r="K59" s="37">
        <f t="shared" si="19"/>
        <v>4344.9508805416644</v>
      </c>
      <c r="L59" s="37">
        <f t="shared" si="19"/>
        <v>4428.5872461379349</v>
      </c>
      <c r="M59" s="37">
        <f t="shared" si="19"/>
        <v>4514.2084285157762</v>
      </c>
      <c r="N59" s="37">
        <f t="shared" si="19"/>
        <v>4600.8635001832909</v>
      </c>
      <c r="O59" s="37">
        <f t="shared" si="19"/>
        <v>4687.6394816693073</v>
      </c>
      <c r="P59" s="37">
        <f t="shared" si="19"/>
        <v>4774.3339548337008</v>
      </c>
      <c r="Q59" s="37">
        <f t="shared" si="19"/>
        <v>4859.6296462585979</v>
      </c>
      <c r="R59" s="37">
        <f t="shared" si="19"/>
        <v>4943.1467722247771</v>
      </c>
      <c r="S59" s="37">
        <f t="shared" si="19"/>
        <v>5018.9025565890634</v>
      </c>
      <c r="T59" s="37">
        <f t="shared" si="19"/>
        <v>5091.4755331422566</v>
      </c>
      <c r="U59" s="37">
        <f t="shared" si="19"/>
        <v>5160.3718829486506</v>
      </c>
      <c r="V59" s="37">
        <f t="shared" si="19"/>
        <v>5224.3923176825974</v>
      </c>
      <c r="W59" s="37">
        <f t="shared" si="19"/>
        <v>5282.4420673755567</v>
      </c>
      <c r="X59" s="37">
        <f t="shared" si="19"/>
        <v>5334.7506693574542</v>
      </c>
      <c r="Y59" s="37">
        <f t="shared" si="19"/>
        <v>5383.7575626852231</v>
      </c>
      <c r="Z59" s="37">
        <f t="shared" si="19"/>
        <v>5427.105031965234</v>
      </c>
      <c r="AA59" s="37">
        <f t="shared" si="19"/>
        <v>5463.8979072169477</v>
      </c>
      <c r="AB59" s="37">
        <f t="shared" si="19"/>
        <v>5494.1641877216734</v>
      </c>
    </row>
    <row r="60" spans="1:28" x14ac:dyDescent="0.25">
      <c r="A60" s="4" t="s">
        <v>217</v>
      </c>
      <c r="B60" s="37">
        <f t="shared" ref="B60:AB60" si="20">B40*B15*$F$6</f>
        <v>7227.5721761237828</v>
      </c>
      <c r="C60" s="37">
        <f t="shared" si="20"/>
        <v>7378.147802256387</v>
      </c>
      <c r="D60" s="37">
        <f t="shared" si="20"/>
        <v>7479.700937266055</v>
      </c>
      <c r="E60" s="37">
        <f t="shared" si="20"/>
        <v>7582.3164381905326</v>
      </c>
      <c r="F60" s="37">
        <f t="shared" si="20"/>
        <v>7687.5505877083979</v>
      </c>
      <c r="G60" s="37">
        <f t="shared" si="20"/>
        <v>7795.4364957704638</v>
      </c>
      <c r="H60" s="37">
        <f t="shared" si="20"/>
        <v>7906.2623524888249</v>
      </c>
      <c r="I60" s="37">
        <f t="shared" si="20"/>
        <v>8041.3922699373397</v>
      </c>
      <c r="J60" s="37">
        <f t="shared" si="20"/>
        <v>8178.6100282568659</v>
      </c>
      <c r="K60" s="37">
        <f t="shared" si="20"/>
        <v>8316.4858334176442</v>
      </c>
      <c r="L60" s="37">
        <f t="shared" si="20"/>
        <v>8454.5894239938534</v>
      </c>
      <c r="M60" s="37">
        <f t="shared" si="20"/>
        <v>8592.60083592306</v>
      </c>
      <c r="N60" s="37">
        <f t="shared" si="20"/>
        <v>8728.9647826039036</v>
      </c>
      <c r="O60" s="37">
        <f t="shared" si="20"/>
        <v>8862.807733763917</v>
      </c>
      <c r="P60" s="37">
        <f t="shared" si="20"/>
        <v>8992.9730382596408</v>
      </c>
      <c r="Q60" s="37">
        <f t="shared" si="20"/>
        <v>9118.2261139174934</v>
      </c>
      <c r="R60" s="37">
        <f t="shared" si="20"/>
        <v>9237.3646823993968</v>
      </c>
      <c r="S60" s="37">
        <f t="shared" si="20"/>
        <v>9340.1106888969844</v>
      </c>
      <c r="T60" s="37">
        <f t="shared" si="20"/>
        <v>9435.1780966398273</v>
      </c>
      <c r="U60" s="37">
        <f t="shared" si="20"/>
        <v>9522.4851061142181</v>
      </c>
      <c r="V60" s="37">
        <f t="shared" si="20"/>
        <v>9599.4158996876668</v>
      </c>
      <c r="W60" s="37">
        <f t="shared" si="20"/>
        <v>9665.1490063967267</v>
      </c>
      <c r="X60" s="37">
        <f t="shared" si="20"/>
        <v>9719.7828689923954</v>
      </c>
      <c r="Y60" s="37">
        <f t="shared" si="20"/>
        <v>9768.1835818979434</v>
      </c>
      <c r="Z60" s="37">
        <f t="shared" si="20"/>
        <v>9805.8944844925736</v>
      </c>
      <c r="AA60" s="37">
        <f t="shared" si="20"/>
        <v>9832.1974287362173</v>
      </c>
      <c r="AB60" s="37">
        <f t="shared" si="20"/>
        <v>9847.8162210673872</v>
      </c>
    </row>
    <row r="61" spans="1:28" x14ac:dyDescent="0.25">
      <c r="A61" s="4" t="s">
        <v>218</v>
      </c>
      <c r="B61" s="37">
        <f t="shared" ref="B61:AB61" si="21">B41*B15*$F$7</f>
        <v>193.97327720729334</v>
      </c>
      <c r="C61" s="37">
        <f t="shared" si="21"/>
        <v>197.69383867164487</v>
      </c>
      <c r="D61" s="37">
        <f t="shared" si="21"/>
        <v>200.13248581423886</v>
      </c>
      <c r="E61" s="37">
        <f t="shared" si="21"/>
        <v>202.59252423259537</v>
      </c>
      <c r="F61" s="37">
        <f t="shared" si="21"/>
        <v>205.14050834335652</v>
      </c>
      <c r="G61" s="37">
        <f t="shared" si="21"/>
        <v>207.78226668552534</v>
      </c>
      <c r="H61" s="37">
        <f t="shared" si="21"/>
        <v>210.51312990032076</v>
      </c>
      <c r="I61" s="37">
        <f t="shared" si="21"/>
        <v>213.93143066468514</v>
      </c>
      <c r="J61" s="37">
        <f t="shared" si="21"/>
        <v>217.4503344898427</v>
      </c>
      <c r="K61" s="37">
        <f t="shared" si="21"/>
        <v>221.0571251456077</v>
      </c>
      <c r="L61" s="37">
        <f t="shared" si="21"/>
        <v>224.75321420990102</v>
      </c>
      <c r="M61" s="37">
        <f t="shared" si="21"/>
        <v>228.52817369599452</v>
      </c>
      <c r="N61" s="37">
        <f t="shared" si="21"/>
        <v>232.39393735467485</v>
      </c>
      <c r="O61" s="37">
        <f t="shared" si="21"/>
        <v>236.29265295469679</v>
      </c>
      <c r="P61" s="37">
        <f t="shared" si="21"/>
        <v>240.2509766458862</v>
      </c>
      <c r="Q61" s="37">
        <f t="shared" si="21"/>
        <v>244.22073534957306</v>
      </c>
      <c r="R61" s="37">
        <f t="shared" si="21"/>
        <v>248.1963549314182</v>
      </c>
      <c r="S61" s="37">
        <f t="shared" si="21"/>
        <v>251.92445715693415</v>
      </c>
      <c r="T61" s="37">
        <f t="shared" si="21"/>
        <v>255.60498892365877</v>
      </c>
      <c r="U61" s="37">
        <f t="shared" si="21"/>
        <v>259.24129296754205</v>
      </c>
      <c r="V61" s="37">
        <f t="shared" si="21"/>
        <v>262.80242014532348</v>
      </c>
      <c r="W61" s="37">
        <f t="shared" si="21"/>
        <v>266.2385050135864</v>
      </c>
      <c r="X61" s="37">
        <f t="shared" si="21"/>
        <v>269.53012815505264</v>
      </c>
      <c r="Y61" s="37">
        <f t="shared" si="21"/>
        <v>272.74385128911126</v>
      </c>
      <c r="Z61" s="37">
        <f t="shared" si="21"/>
        <v>275.80306494355995</v>
      </c>
      <c r="AA61" s="37">
        <f t="shared" si="21"/>
        <v>278.70350560901278</v>
      </c>
      <c r="AB61" s="37">
        <f t="shared" si="21"/>
        <v>281.41423609781191</v>
      </c>
    </row>
    <row r="62" spans="1:28" x14ac:dyDescent="0.25">
      <c r="A62" s="4" t="s">
        <v>219</v>
      </c>
      <c r="B62" s="37">
        <f t="shared" ref="B62:AB62" si="22">B42*B15*$F$8</f>
        <v>92.715436309443092</v>
      </c>
      <c r="C62" s="37">
        <f t="shared" si="22"/>
        <v>95.281229913718263</v>
      </c>
      <c r="D62" s="37">
        <f t="shared" si="22"/>
        <v>97.299805367724645</v>
      </c>
      <c r="E62" s="37">
        <f t="shared" si="22"/>
        <v>99.463068710267237</v>
      </c>
      <c r="F62" s="37">
        <f t="shared" si="22"/>
        <v>101.79995669129504</v>
      </c>
      <c r="G62" s="37">
        <f t="shared" si="22"/>
        <v>104.3085613437609</v>
      </c>
      <c r="H62" s="37">
        <f t="shared" si="22"/>
        <v>106.99607579053693</v>
      </c>
      <c r="I62" s="37">
        <f t="shared" si="22"/>
        <v>110.16716052704598</v>
      </c>
      <c r="J62" s="37">
        <f t="shared" si="22"/>
        <v>113.47759374348894</v>
      </c>
      <c r="K62" s="37">
        <f t="shared" si="22"/>
        <v>116.90590837785805</v>
      </c>
      <c r="L62" s="37">
        <f t="shared" si="22"/>
        <v>120.48315959091656</v>
      </c>
      <c r="M62" s="37">
        <f t="shared" si="22"/>
        <v>124.18740124274156</v>
      </c>
      <c r="N62" s="37">
        <f t="shared" si="22"/>
        <v>128.00418275129888</v>
      </c>
      <c r="O62" s="37">
        <f t="shared" si="22"/>
        <v>131.91219788133526</v>
      </c>
      <c r="P62" s="37">
        <f t="shared" si="22"/>
        <v>135.90061346914152</v>
      </c>
      <c r="Q62" s="37">
        <f t="shared" si="22"/>
        <v>139.94448610493208</v>
      </c>
      <c r="R62" s="37">
        <f t="shared" si="22"/>
        <v>144.03156239903424</v>
      </c>
      <c r="S62" s="37">
        <f t="shared" si="22"/>
        <v>147.98824947512355</v>
      </c>
      <c r="T62" s="37">
        <f t="shared" si="22"/>
        <v>151.95948181415241</v>
      </c>
      <c r="U62" s="37">
        <f t="shared" si="22"/>
        <v>155.91238356314196</v>
      </c>
      <c r="V62" s="37">
        <f t="shared" si="22"/>
        <v>159.85183841336499</v>
      </c>
      <c r="W62" s="37">
        <f t="shared" si="22"/>
        <v>163.76679014964645</v>
      </c>
      <c r="X62" s="37">
        <f t="shared" si="22"/>
        <v>167.67064738333607</v>
      </c>
      <c r="Y62" s="37">
        <f t="shared" si="22"/>
        <v>171.55188570131412</v>
      </c>
      <c r="Z62" s="37">
        <f t="shared" si="22"/>
        <v>175.41513119110758</v>
      </c>
      <c r="AA62" s="37">
        <f t="shared" si="22"/>
        <v>179.25777066629195</v>
      </c>
      <c r="AB62" s="37">
        <f t="shared" si="22"/>
        <v>183.06603547311923</v>
      </c>
    </row>
    <row r="63" spans="1:28" x14ac:dyDescent="0.25">
      <c r="A63" s="4" t="s">
        <v>220</v>
      </c>
      <c r="B63" s="37">
        <f t="shared" ref="B63:AB63" si="23">B43*B15*$F$9</f>
        <v>446.71713175290915</v>
      </c>
      <c r="C63" s="37">
        <f t="shared" si="23"/>
        <v>458.43674469574665</v>
      </c>
      <c r="D63" s="37">
        <f t="shared" si="23"/>
        <v>467.59119501818452</v>
      </c>
      <c r="E63" s="37">
        <f t="shared" si="23"/>
        <v>477.62062787375538</v>
      </c>
      <c r="F63" s="37">
        <f t="shared" si="23"/>
        <v>487.73594034660545</v>
      </c>
      <c r="G63" s="37">
        <f t="shared" si="23"/>
        <v>498.63395561593757</v>
      </c>
      <c r="H63" s="37">
        <f t="shared" si="23"/>
        <v>509.86256970392321</v>
      </c>
      <c r="I63" s="37">
        <f t="shared" si="23"/>
        <v>522.76382673061414</v>
      </c>
      <c r="J63" s="37">
        <f t="shared" si="23"/>
        <v>535.9848105068827</v>
      </c>
      <c r="K63" s="37">
        <f t="shared" si="23"/>
        <v>550.10697087395033</v>
      </c>
      <c r="L63" s="37">
        <f t="shared" si="23"/>
        <v>564.60830114723854</v>
      </c>
      <c r="M63" s="37">
        <f t="shared" si="23"/>
        <v>579.6645219568087</v>
      </c>
      <c r="N63" s="37">
        <f t="shared" si="23"/>
        <v>595.02466029310972</v>
      </c>
      <c r="O63" s="37">
        <f t="shared" si="23"/>
        <v>610.7377307998928</v>
      </c>
      <c r="P63" s="37">
        <f t="shared" si="23"/>
        <v>626.96672973657735</v>
      </c>
      <c r="Q63" s="37">
        <f t="shared" si="23"/>
        <v>643.63292808871563</v>
      </c>
      <c r="R63" s="37">
        <f t="shared" si="23"/>
        <v>660.61591202520697</v>
      </c>
      <c r="S63" s="37">
        <f t="shared" si="23"/>
        <v>677.03522982707659</v>
      </c>
      <c r="T63" s="37">
        <f t="shared" si="23"/>
        <v>693.73233122837814</v>
      </c>
      <c r="U63" s="37">
        <f t="shared" si="23"/>
        <v>710.52626131962836</v>
      </c>
      <c r="V63" s="37">
        <f t="shared" si="23"/>
        <v>727.2115345810189</v>
      </c>
      <c r="W63" s="37">
        <f t="shared" si="23"/>
        <v>744.2316472682121</v>
      </c>
      <c r="X63" s="37">
        <f t="shared" si="23"/>
        <v>761.22865493159077</v>
      </c>
      <c r="Y63" s="37">
        <f t="shared" si="23"/>
        <v>778.41809837107132</v>
      </c>
      <c r="Z63" s="37">
        <f t="shared" si="23"/>
        <v>795.50028641917515</v>
      </c>
      <c r="AA63" s="37">
        <f t="shared" si="23"/>
        <v>812.59007051248409</v>
      </c>
      <c r="AB63" s="37">
        <f t="shared" si="23"/>
        <v>829.80949446001102</v>
      </c>
    </row>
    <row r="64" spans="1:28" x14ac:dyDescent="0.25">
      <c r="A64" s="4" t="s">
        <v>221</v>
      </c>
      <c r="B64" s="37">
        <f t="shared" ref="B64:AB64" si="24">B44*B15*$F$10</f>
        <v>191.16827399896124</v>
      </c>
      <c r="C64" s="37">
        <f t="shared" si="24"/>
        <v>198.70788799148843</v>
      </c>
      <c r="D64" s="37">
        <f t="shared" si="24"/>
        <v>205.1008322890402</v>
      </c>
      <c r="E64" s="37">
        <f t="shared" si="24"/>
        <v>211.64849455599952</v>
      </c>
      <c r="F64" s="37">
        <f t="shared" si="24"/>
        <v>218.35377051322357</v>
      </c>
      <c r="G64" s="37">
        <f t="shared" si="24"/>
        <v>225.24387685584193</v>
      </c>
      <c r="H64" s="37">
        <f t="shared" si="24"/>
        <v>232.39290328499541</v>
      </c>
      <c r="I64" s="37">
        <f t="shared" si="24"/>
        <v>240.46564937282952</v>
      </c>
      <c r="J64" s="37">
        <f t="shared" si="24"/>
        <v>248.77887305097852</v>
      </c>
      <c r="K64" s="37">
        <f t="shared" si="24"/>
        <v>257.39222128794461</v>
      </c>
      <c r="L64" s="37">
        <f t="shared" si="24"/>
        <v>266.35230952812344</v>
      </c>
      <c r="M64" s="37">
        <f t="shared" si="24"/>
        <v>275.59692066386032</v>
      </c>
      <c r="N64" s="37">
        <f t="shared" si="24"/>
        <v>285.20051879701919</v>
      </c>
      <c r="O64" s="37">
        <f t="shared" si="24"/>
        <v>295.11876618341955</v>
      </c>
      <c r="P64" s="37">
        <f t="shared" si="24"/>
        <v>305.34150066783332</v>
      </c>
      <c r="Q64" s="37">
        <f t="shared" si="24"/>
        <v>315.88503199103934</v>
      </c>
      <c r="R64" s="37">
        <f t="shared" si="24"/>
        <v>326.68839196298791</v>
      </c>
      <c r="S64" s="37">
        <f t="shared" si="24"/>
        <v>337.412376340045</v>
      </c>
      <c r="T64" s="37">
        <f t="shared" si="24"/>
        <v>348.37380381828865</v>
      </c>
      <c r="U64" s="37">
        <f t="shared" si="24"/>
        <v>359.55108446632943</v>
      </c>
      <c r="V64" s="37">
        <f t="shared" si="24"/>
        <v>370.89768959981569</v>
      </c>
      <c r="W64" s="37">
        <f t="shared" si="24"/>
        <v>382.36335648615835</v>
      </c>
      <c r="X64" s="37">
        <f t="shared" si="24"/>
        <v>393.99501961005859</v>
      </c>
      <c r="Y64" s="37">
        <f t="shared" si="24"/>
        <v>405.71404178248935</v>
      </c>
      <c r="Z64" s="37">
        <f t="shared" si="24"/>
        <v>417.51494004289839</v>
      </c>
      <c r="AA64" s="37">
        <f t="shared" si="24"/>
        <v>429.30356732633282</v>
      </c>
      <c r="AB64" s="37">
        <f t="shared" si="24"/>
        <v>441.0670557986985</v>
      </c>
    </row>
    <row r="65" spans="1:28" x14ac:dyDescent="0.25">
      <c r="A65" s="4" t="s">
        <v>222</v>
      </c>
      <c r="B65" s="37">
        <f t="shared" ref="B65:AB65" si="25">B45*B15*$F$11</f>
        <v>8563.1045474630664</v>
      </c>
      <c r="C65" s="37">
        <f t="shared" si="25"/>
        <v>8728.3710255189271</v>
      </c>
      <c r="D65" s="37">
        <f t="shared" si="25"/>
        <v>8835.6979129830906</v>
      </c>
      <c r="E65" s="37">
        <f t="shared" si="25"/>
        <v>8944.6545156150387</v>
      </c>
      <c r="F65" s="37">
        <f t="shared" si="25"/>
        <v>9057.0051150369</v>
      </c>
      <c r="G65" s="37">
        <f t="shared" si="25"/>
        <v>9173.0343329350089</v>
      </c>
      <c r="H65" s="37">
        <f t="shared" si="25"/>
        <v>9292.5140656551339</v>
      </c>
      <c r="I65" s="37">
        <f t="shared" si="25"/>
        <v>9440.625137146937</v>
      </c>
      <c r="J65" s="37">
        <f t="shared" si="25"/>
        <v>9591.2657314232438</v>
      </c>
      <c r="K65" s="37">
        <f t="shared" si="25"/>
        <v>9742.7955545975874</v>
      </c>
      <c r="L65" s="37">
        <f t="shared" si="25"/>
        <v>9894.4526979640395</v>
      </c>
      <c r="M65" s="37">
        <f t="shared" si="25"/>
        <v>10046.093583438773</v>
      </c>
      <c r="N65" s="37">
        <f t="shared" si="25"/>
        <v>10195.658176753779</v>
      </c>
      <c r="O65" s="37">
        <f t="shared" si="25"/>
        <v>10342.000734298683</v>
      </c>
      <c r="P65" s="37">
        <f t="shared" si="25"/>
        <v>10484.143473028342</v>
      </c>
      <c r="Q65" s="37">
        <f t="shared" si="25"/>
        <v>10620.285543124755</v>
      </c>
      <c r="R65" s="37">
        <f t="shared" si="25"/>
        <v>10749.278332253132</v>
      </c>
      <c r="S65" s="37">
        <f t="shared" si="25"/>
        <v>10859.06888510438</v>
      </c>
      <c r="T65" s="37">
        <f t="shared" si="25"/>
        <v>10959.698882606039</v>
      </c>
      <c r="U65" s="37">
        <f t="shared" si="25"/>
        <v>11050.966354980623</v>
      </c>
      <c r="V65" s="37">
        <f t="shared" si="25"/>
        <v>11130.055456715121</v>
      </c>
      <c r="W65" s="37">
        <f t="shared" si="25"/>
        <v>11196.183441095296</v>
      </c>
      <c r="X65" s="37">
        <f t="shared" si="25"/>
        <v>11249.021040937099</v>
      </c>
      <c r="Y65" s="37">
        <f t="shared" si="25"/>
        <v>11294.469211863945</v>
      </c>
      <c r="Z65" s="37">
        <f t="shared" si="25"/>
        <v>11327.282483984976</v>
      </c>
      <c r="AA65" s="37">
        <f t="shared" si="25"/>
        <v>11347.124312953227</v>
      </c>
      <c r="AB65" s="37">
        <f t="shared" si="25"/>
        <v>11354.623203698788</v>
      </c>
    </row>
    <row r="67" spans="1:28" x14ac:dyDescent="0.25">
      <c r="A67" s="4" t="s">
        <v>328</v>
      </c>
    </row>
    <row r="68" spans="1:28" x14ac:dyDescent="0.25">
      <c r="A68" s="4" t="s">
        <v>329</v>
      </c>
      <c r="B68" s="40">
        <f t="shared" ref="B68:AB68" si="26">B48+B49</f>
        <v>46.755310199303352</v>
      </c>
      <c r="C68" s="40">
        <f t="shared" si="26"/>
        <v>46.631823788876254</v>
      </c>
      <c r="D68" s="40">
        <f t="shared" si="26"/>
        <v>46.203079143985335</v>
      </c>
      <c r="E68" s="40">
        <f t="shared" si="26"/>
        <v>45.77947425137242</v>
      </c>
      <c r="F68" s="40">
        <f t="shared" si="26"/>
        <v>45.352973892741318</v>
      </c>
      <c r="G68" s="40">
        <f t="shared" si="26"/>
        <v>44.929002570275784</v>
      </c>
      <c r="H68" s="40">
        <f t="shared" si="26"/>
        <v>44.505178384479528</v>
      </c>
      <c r="I68" s="40">
        <f t="shared" si="26"/>
        <v>44.206862295072575</v>
      </c>
      <c r="J68" s="40">
        <f t="shared" si="26"/>
        <v>43.903371527326279</v>
      </c>
      <c r="K68" s="40">
        <f t="shared" si="26"/>
        <v>43.591584641583964</v>
      </c>
      <c r="L68" s="40">
        <f t="shared" si="26"/>
        <v>43.273146787182185</v>
      </c>
      <c r="M68" s="40">
        <f t="shared" si="26"/>
        <v>42.946345498002593</v>
      </c>
      <c r="N68" s="40">
        <f t="shared" si="26"/>
        <v>42.616590230063807</v>
      </c>
      <c r="O68" s="40">
        <f t="shared" si="26"/>
        <v>42.270975935134132</v>
      </c>
      <c r="P68" s="40">
        <f t="shared" si="26"/>
        <v>41.911470913009545</v>
      </c>
      <c r="Q68" s="40">
        <f t="shared" si="26"/>
        <v>41.544546422902528</v>
      </c>
      <c r="R68" s="40">
        <f t="shared" si="26"/>
        <v>41.165185939799834</v>
      </c>
      <c r="S68" s="40">
        <f t="shared" si="26"/>
        <v>40.73967225336667</v>
      </c>
      <c r="T68" s="40">
        <f t="shared" si="26"/>
        <v>40.313042080519423</v>
      </c>
      <c r="U68" s="40">
        <f t="shared" si="26"/>
        <v>39.89020391490579</v>
      </c>
      <c r="V68" s="40">
        <f t="shared" si="26"/>
        <v>39.475982627134655</v>
      </c>
      <c r="W68" s="40">
        <f t="shared" si="26"/>
        <v>39.069882123866975</v>
      </c>
      <c r="X68" s="40">
        <f t="shared" si="26"/>
        <v>38.685998864017861</v>
      </c>
      <c r="Y68" s="40">
        <f t="shared" si="26"/>
        <v>38.314583088192677</v>
      </c>
      <c r="Z68" s="40">
        <f t="shared" si="26"/>
        <v>37.955852602220411</v>
      </c>
      <c r="AA68" s="40">
        <f t="shared" si="26"/>
        <v>37.608699882814321</v>
      </c>
      <c r="AB68" s="40">
        <f t="shared" si="26"/>
        <v>37.278017084489107</v>
      </c>
    </row>
    <row r="69" spans="1:28" x14ac:dyDescent="0.25">
      <c r="A69" s="4" t="s">
        <v>330</v>
      </c>
      <c r="B69" s="40">
        <f t="shared" ref="B69:AB69" si="27">B50+B51+B52+B53</f>
        <v>43.689203077793557</v>
      </c>
      <c r="C69" s="40">
        <f t="shared" si="27"/>
        <v>43.719715645985012</v>
      </c>
      <c r="D69" s="40">
        <f t="shared" si="27"/>
        <v>43.450490074348949</v>
      </c>
      <c r="E69" s="40">
        <f t="shared" si="27"/>
        <v>43.194844079478301</v>
      </c>
      <c r="F69" s="40">
        <f t="shared" si="27"/>
        <v>42.935389461189231</v>
      </c>
      <c r="G69" s="40">
        <f t="shared" si="27"/>
        <v>42.669767202880529</v>
      </c>
      <c r="H69" s="40">
        <f t="shared" si="27"/>
        <v>42.424280945152347</v>
      </c>
      <c r="I69" s="40">
        <f t="shared" si="27"/>
        <v>42.280027736812315</v>
      </c>
      <c r="J69" s="40">
        <f t="shared" si="27"/>
        <v>42.133626714713721</v>
      </c>
      <c r="K69" s="40">
        <f t="shared" si="27"/>
        <v>41.96159170753009</v>
      </c>
      <c r="L69" s="40">
        <f t="shared" si="27"/>
        <v>41.785490214841843</v>
      </c>
      <c r="M69" s="40">
        <f t="shared" si="27"/>
        <v>41.580705759904362</v>
      </c>
      <c r="N69" s="40">
        <f t="shared" si="27"/>
        <v>41.37888630952682</v>
      </c>
      <c r="O69" s="40">
        <f t="shared" si="27"/>
        <v>41.14557175825955</v>
      </c>
      <c r="P69" s="40">
        <f t="shared" si="27"/>
        <v>40.890508015011939</v>
      </c>
      <c r="Q69" s="40">
        <f t="shared" si="27"/>
        <v>40.612882668717567</v>
      </c>
      <c r="R69" s="40">
        <f t="shared" si="27"/>
        <v>40.322937340178342</v>
      </c>
      <c r="S69" s="40">
        <f t="shared" si="27"/>
        <v>39.981161460763595</v>
      </c>
      <c r="T69" s="40">
        <f t="shared" si="27"/>
        <v>39.618124684685839</v>
      </c>
      <c r="U69" s="40">
        <f t="shared" si="27"/>
        <v>39.270999372225731</v>
      </c>
      <c r="V69" s="40">
        <f t="shared" si="27"/>
        <v>38.918660696312855</v>
      </c>
      <c r="W69" s="40">
        <f t="shared" si="27"/>
        <v>38.577878874024805</v>
      </c>
      <c r="X69" s="40">
        <f t="shared" si="27"/>
        <v>38.265699390258646</v>
      </c>
      <c r="Y69" s="40">
        <f t="shared" si="27"/>
        <v>37.944305885707074</v>
      </c>
      <c r="Z69" s="40">
        <f t="shared" si="27"/>
        <v>37.652483695152185</v>
      </c>
      <c r="AA69" s="40">
        <f t="shared" si="27"/>
        <v>37.357714986287682</v>
      </c>
      <c r="AB69" s="40">
        <f t="shared" si="27"/>
        <v>37.093206590993134</v>
      </c>
    </row>
    <row r="70" spans="1:28" x14ac:dyDescent="0.25">
      <c r="A70" s="4" t="s">
        <v>331</v>
      </c>
      <c r="B70" s="40">
        <f t="shared" ref="B70:AB70" si="28">B54+B55</f>
        <v>45.269663589212186</v>
      </c>
      <c r="C70" s="40">
        <f t="shared" si="28"/>
        <v>45.048430136465655</v>
      </c>
      <c r="D70" s="40">
        <f t="shared" si="28"/>
        <v>44.526682769479102</v>
      </c>
      <c r="E70" s="40">
        <f t="shared" si="28"/>
        <v>44.007283833158276</v>
      </c>
      <c r="F70" s="40">
        <f t="shared" si="28"/>
        <v>43.475860165163191</v>
      </c>
      <c r="G70" s="40">
        <f t="shared" si="28"/>
        <v>42.956176251931701</v>
      </c>
      <c r="H70" s="40">
        <f t="shared" si="28"/>
        <v>42.437810667276914</v>
      </c>
      <c r="I70" s="40">
        <f t="shared" si="28"/>
        <v>42.039914437764686</v>
      </c>
      <c r="J70" s="40">
        <f t="shared" si="28"/>
        <v>41.63999895195807</v>
      </c>
      <c r="K70" s="40">
        <f t="shared" si="28"/>
        <v>41.233270184845864</v>
      </c>
      <c r="L70" s="40">
        <f t="shared" si="28"/>
        <v>40.825375140768614</v>
      </c>
      <c r="M70" s="40">
        <f t="shared" si="28"/>
        <v>40.413008981645127</v>
      </c>
      <c r="N70" s="40">
        <f t="shared" si="28"/>
        <v>40.00252666555928</v>
      </c>
      <c r="O70" s="40">
        <f t="shared" si="28"/>
        <v>39.580830598329932</v>
      </c>
      <c r="P70" s="40">
        <f t="shared" si="28"/>
        <v>39.15514677447613</v>
      </c>
      <c r="Q70" s="40">
        <f t="shared" si="28"/>
        <v>38.727506149798096</v>
      </c>
      <c r="R70" s="40">
        <f t="shared" si="28"/>
        <v>38.298549645375559</v>
      </c>
      <c r="S70" s="40">
        <f t="shared" si="28"/>
        <v>37.824529573335646</v>
      </c>
      <c r="T70" s="40">
        <f t="shared" si="28"/>
        <v>37.357744336624876</v>
      </c>
      <c r="U70" s="40">
        <f t="shared" si="28"/>
        <v>36.904278106898111</v>
      </c>
      <c r="V70" s="40">
        <f t="shared" si="28"/>
        <v>36.460099977832208</v>
      </c>
      <c r="W70" s="40">
        <f t="shared" si="28"/>
        <v>36.037198047888836</v>
      </c>
      <c r="X70" s="40">
        <f t="shared" si="28"/>
        <v>35.626329930658791</v>
      </c>
      <c r="Y70" s="40">
        <f t="shared" si="28"/>
        <v>35.232373825523069</v>
      </c>
      <c r="Z70" s="40">
        <f t="shared" si="28"/>
        <v>34.852330760448169</v>
      </c>
      <c r="AA70" s="40">
        <f t="shared" si="28"/>
        <v>34.483197946679688</v>
      </c>
      <c r="AB70" s="40">
        <f t="shared" si="28"/>
        <v>34.128648225233889</v>
      </c>
    </row>
    <row r="71" spans="1:28" x14ac:dyDescent="0.25">
      <c r="A71" s="4" t="s">
        <v>332</v>
      </c>
      <c r="B71" s="40">
        <f t="shared" ref="B71:AB71" si="29">B58+B59</f>
        <v>7983.9984097353745</v>
      </c>
      <c r="C71" s="40">
        <f t="shared" si="29"/>
        <v>8152.2595035047452</v>
      </c>
      <c r="D71" s="40">
        <f t="shared" si="29"/>
        <v>8267.0199373300602</v>
      </c>
      <c r="E71" s="40">
        <f t="shared" si="29"/>
        <v>8383.6698471412037</v>
      </c>
      <c r="F71" s="40">
        <f t="shared" si="29"/>
        <v>8503.7011682274933</v>
      </c>
      <c r="G71" s="40">
        <f t="shared" si="29"/>
        <v>8627.4522946759698</v>
      </c>
      <c r="H71" s="40">
        <f t="shared" si="29"/>
        <v>8754.9783070243102</v>
      </c>
      <c r="I71" s="40">
        <f t="shared" si="29"/>
        <v>8910.1339812257975</v>
      </c>
      <c r="J71" s="40">
        <f t="shared" si="29"/>
        <v>9068.2058097908084</v>
      </c>
      <c r="K71" s="40">
        <f t="shared" si="29"/>
        <v>9228.0395900014046</v>
      </c>
      <c r="L71" s="40">
        <f t="shared" si="29"/>
        <v>9389.1461936854685</v>
      </c>
      <c r="M71" s="40">
        <f t="shared" si="29"/>
        <v>9551.1837335136079</v>
      </c>
      <c r="N71" s="40">
        <f t="shared" si="29"/>
        <v>9712.6797336634372</v>
      </c>
      <c r="O71" s="40">
        <f t="shared" si="29"/>
        <v>9872.5187526358532</v>
      </c>
      <c r="P71" s="40">
        <f t="shared" si="29"/>
        <v>10029.819968712804</v>
      </c>
      <c r="Q71" s="40">
        <f t="shared" si="29"/>
        <v>10183.142018294337</v>
      </c>
      <c r="R71" s="40">
        <f t="shared" si="29"/>
        <v>10331.276456506519</v>
      </c>
      <c r="S71" s="40">
        <f t="shared" si="29"/>
        <v>10462.763231322855</v>
      </c>
      <c r="T71" s="40">
        <f t="shared" si="29"/>
        <v>10587.298725826971</v>
      </c>
      <c r="U71" s="40">
        <f t="shared" si="29"/>
        <v>10704.65341473616</v>
      </c>
      <c r="V71" s="40">
        <f t="shared" si="29"/>
        <v>10812.260268128743</v>
      </c>
      <c r="W71" s="40">
        <f t="shared" si="29"/>
        <v>10909.308909745409</v>
      </c>
      <c r="X71" s="40">
        <f t="shared" si="29"/>
        <v>10995.672910161666</v>
      </c>
      <c r="Y71" s="40">
        <f t="shared" si="29"/>
        <v>11076.083962820434</v>
      </c>
      <c r="Z71" s="40">
        <f t="shared" si="29"/>
        <v>11146.067280152804</v>
      </c>
      <c r="AA71" s="40">
        <f t="shared" si="29"/>
        <v>11205.029056165808</v>
      </c>
      <c r="AB71" s="40">
        <f t="shared" si="29"/>
        <v>11253.469223060107</v>
      </c>
    </row>
    <row r="72" spans="1:28" x14ac:dyDescent="0.25">
      <c r="A72" s="4" t="s">
        <v>333</v>
      </c>
      <c r="B72" s="40">
        <f t="shared" ref="B72:AB72" si="30">B60+B61+B62+B63</f>
        <v>7960.9780213934282</v>
      </c>
      <c r="C72" s="40">
        <f t="shared" si="30"/>
        <v>8129.5596155374969</v>
      </c>
      <c r="D72" s="40">
        <f t="shared" si="30"/>
        <v>8244.724423466203</v>
      </c>
      <c r="E72" s="40">
        <f t="shared" si="30"/>
        <v>8361.99265900715</v>
      </c>
      <c r="F72" s="40">
        <f t="shared" si="30"/>
        <v>8482.2269930896546</v>
      </c>
      <c r="G72" s="40">
        <f t="shared" si="30"/>
        <v>8606.1612794156881</v>
      </c>
      <c r="H72" s="40">
        <f t="shared" si="30"/>
        <v>8733.6341278836044</v>
      </c>
      <c r="I72" s="40">
        <f t="shared" si="30"/>
        <v>8888.2546878596841</v>
      </c>
      <c r="J72" s="40">
        <f t="shared" si="30"/>
        <v>9045.5227669970809</v>
      </c>
      <c r="K72" s="40">
        <f t="shared" si="30"/>
        <v>9204.5558378150599</v>
      </c>
      <c r="L72" s="40">
        <f t="shared" si="30"/>
        <v>9364.4340989419088</v>
      </c>
      <c r="M72" s="40">
        <f t="shared" si="30"/>
        <v>9524.9809328186057</v>
      </c>
      <c r="N72" s="40">
        <f t="shared" si="30"/>
        <v>9684.387563002987</v>
      </c>
      <c r="O72" s="40">
        <f t="shared" si="30"/>
        <v>9841.7503153998405</v>
      </c>
      <c r="P72" s="40">
        <f t="shared" si="30"/>
        <v>9996.0913581112454</v>
      </c>
      <c r="Q72" s="40">
        <f t="shared" si="30"/>
        <v>10146.024263460713</v>
      </c>
      <c r="R72" s="40">
        <f t="shared" si="30"/>
        <v>10290.208511755056</v>
      </c>
      <c r="S72" s="40">
        <f t="shared" si="30"/>
        <v>10417.05862535612</v>
      </c>
      <c r="T72" s="40">
        <f t="shared" si="30"/>
        <v>10536.474898606017</v>
      </c>
      <c r="U72" s="40">
        <f t="shared" si="30"/>
        <v>10648.165043964531</v>
      </c>
      <c r="V72" s="40">
        <f t="shared" si="30"/>
        <v>10749.281692827375</v>
      </c>
      <c r="W72" s="40">
        <f t="shared" si="30"/>
        <v>10839.385948828172</v>
      </c>
      <c r="X72" s="40">
        <f t="shared" si="30"/>
        <v>10918.212299462375</v>
      </c>
      <c r="Y72" s="40">
        <f t="shared" si="30"/>
        <v>10990.897417259441</v>
      </c>
      <c r="Z72" s="40">
        <f t="shared" si="30"/>
        <v>11052.612967046418</v>
      </c>
      <c r="AA72" s="40">
        <f t="shared" si="30"/>
        <v>11102.748775524007</v>
      </c>
      <c r="AB72" s="40">
        <f t="shared" si="30"/>
        <v>11142.105987098328</v>
      </c>
    </row>
    <row r="73" spans="1:28" x14ac:dyDescent="0.25">
      <c r="A73" s="4" t="s">
        <v>334</v>
      </c>
      <c r="B73" s="40">
        <f t="shared" ref="B73:AB73" si="31">B64+B65</f>
        <v>8754.2728214620274</v>
      </c>
      <c r="C73" s="40">
        <f t="shared" si="31"/>
        <v>8927.0789135104151</v>
      </c>
      <c r="D73" s="40">
        <f t="shared" si="31"/>
        <v>9040.79874527213</v>
      </c>
      <c r="E73" s="40">
        <f t="shared" si="31"/>
        <v>9156.3030101710374</v>
      </c>
      <c r="F73" s="40">
        <f t="shared" si="31"/>
        <v>9275.3588855501239</v>
      </c>
      <c r="G73" s="40">
        <f t="shared" si="31"/>
        <v>9398.2782097908512</v>
      </c>
      <c r="H73" s="40">
        <f t="shared" si="31"/>
        <v>9524.9069689401294</v>
      </c>
      <c r="I73" s="40">
        <f t="shared" si="31"/>
        <v>9681.090786519766</v>
      </c>
      <c r="J73" s="40">
        <f t="shared" si="31"/>
        <v>9840.0446044742221</v>
      </c>
      <c r="K73" s="40">
        <f t="shared" si="31"/>
        <v>10000.187775885532</v>
      </c>
      <c r="L73" s="40">
        <f t="shared" si="31"/>
        <v>10160.805007492163</v>
      </c>
      <c r="M73" s="40">
        <f t="shared" si="31"/>
        <v>10321.690504102633</v>
      </c>
      <c r="N73" s="40">
        <f t="shared" si="31"/>
        <v>10480.858695550798</v>
      </c>
      <c r="O73" s="40">
        <f t="shared" si="31"/>
        <v>10637.119500482102</v>
      </c>
      <c r="P73" s="40">
        <f t="shared" si="31"/>
        <v>10789.484973696175</v>
      </c>
      <c r="Q73" s="40">
        <f t="shared" si="31"/>
        <v>10936.170575115795</v>
      </c>
      <c r="R73" s="40">
        <f t="shared" si="31"/>
        <v>11075.966724216119</v>
      </c>
      <c r="S73" s="40">
        <f t="shared" si="31"/>
        <v>11196.481261444425</v>
      </c>
      <c r="T73" s="40">
        <f t="shared" si="31"/>
        <v>11308.072686424328</v>
      </c>
      <c r="U73" s="40">
        <f t="shared" si="31"/>
        <v>11410.517439446952</v>
      </c>
      <c r="V73" s="40">
        <f t="shared" si="31"/>
        <v>11500.953146314936</v>
      </c>
      <c r="W73" s="40">
        <f t="shared" si="31"/>
        <v>11578.546797581454</v>
      </c>
      <c r="X73" s="40">
        <f t="shared" si="31"/>
        <v>11643.016060547157</v>
      </c>
      <c r="Y73" s="40">
        <f t="shared" si="31"/>
        <v>11700.183253646434</v>
      </c>
      <c r="Z73" s="40">
        <f t="shared" si="31"/>
        <v>11744.797424027875</v>
      </c>
      <c r="AA73" s="40">
        <f t="shared" si="31"/>
        <v>11776.42788027956</v>
      </c>
      <c r="AB73" s="40">
        <f t="shared" si="31"/>
        <v>11795.690259497485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26.621541078725336</v>
      </c>
      <c r="C2" s="37">
        <f>BDbDT_calcs!C48</f>
        <v>26.527282528534176</v>
      </c>
      <c r="D2" s="37">
        <f>BDbDT_calcs!D48</f>
        <v>26.258113676105257</v>
      </c>
      <c r="E2" s="37">
        <f>BDbDT_calcs!E48</f>
        <v>25.993511378775246</v>
      </c>
      <c r="F2" s="37">
        <f>BDbDT_calcs!F48</f>
        <v>25.727973497856198</v>
      </c>
      <c r="G2" s="37">
        <f>BDbDT_calcs!G48</f>
        <v>25.461534014646805</v>
      </c>
      <c r="H2" s="37">
        <f>BDbDT_calcs!H48</f>
        <v>25.194356156400012</v>
      </c>
      <c r="I2" s="37">
        <f>BDbDT_calcs!I48</f>
        <v>25.009462531935565</v>
      </c>
      <c r="J2" s="37">
        <f>BDbDT_calcs!J48</f>
        <v>24.808513769608517</v>
      </c>
      <c r="K2" s="37">
        <f>BDbDT_calcs!K48</f>
        <v>24.61309544375742</v>
      </c>
      <c r="L2" s="37">
        <f>BDbDT_calcs!L48</f>
        <v>24.403467830953932</v>
      </c>
      <c r="M2" s="37">
        <f>BDbDT_calcs!M48</f>
        <v>24.199340903682131</v>
      </c>
      <c r="N2" s="37">
        <f>BDbDT_calcs!N48</f>
        <v>24.003526313055492</v>
      </c>
      <c r="O2" s="37">
        <f>BDbDT_calcs!O48</f>
        <v>23.776285455609155</v>
      </c>
      <c r="P2" s="37">
        <f>BDbDT_calcs!P48</f>
        <v>23.560008863580251</v>
      </c>
      <c r="Q2" s="37">
        <f>BDbDT_calcs!Q48</f>
        <v>23.328974512859254</v>
      </c>
      <c r="R2" s="37">
        <f>BDbDT_calcs!R48</f>
        <v>23.097200055468601</v>
      </c>
      <c r="S2" s="37">
        <f>BDbDT_calcs!S48</f>
        <v>22.835691676025501</v>
      </c>
      <c r="T2" s="37">
        <f>BDbDT_calcs!T48</f>
        <v>22.57653499686019</v>
      </c>
      <c r="U2" s="37">
        <f>BDbDT_calcs!U48</f>
        <v>22.319435490785992</v>
      </c>
      <c r="V2" s="37">
        <f>BDbDT_calcs!V48</f>
        <v>22.064032638157546</v>
      </c>
      <c r="W2" s="37">
        <f>BDbDT_calcs!W48</f>
        <v>21.812822186485047</v>
      </c>
      <c r="X2" s="37">
        <f>BDbDT_calcs!X48</f>
        <v>21.585648634303745</v>
      </c>
      <c r="Y2" s="37">
        <f>BDbDT_calcs!Y48</f>
        <v>21.359253492301153</v>
      </c>
      <c r="Z2" s="37">
        <f>BDbDT_calcs!Z48</f>
        <v>21.147795207654902</v>
      </c>
      <c r="AA2" s="37">
        <f>BDbDT_calcs!AA48</f>
        <v>20.939416285706073</v>
      </c>
      <c r="AB2" s="37">
        <f>BDbDT_calcs!AB48</f>
        <v>20.730910695206337</v>
      </c>
    </row>
    <row r="3" spans="1:28" x14ac:dyDescent="0.25">
      <c r="A3" s="4" t="s">
        <v>216</v>
      </c>
      <c r="B3" s="37">
        <f>BDbDT_calcs!B49</f>
        <v>20.133769120578016</v>
      </c>
      <c r="C3" s="37">
        <f>BDbDT_calcs!C49</f>
        <v>20.104541260342078</v>
      </c>
      <c r="D3" s="37">
        <f>BDbDT_calcs!D49</f>
        <v>19.944965467880078</v>
      </c>
      <c r="E3" s="37">
        <f>BDbDT_calcs!E49</f>
        <v>19.785962872597178</v>
      </c>
      <c r="F3" s="37">
        <f>BDbDT_calcs!F49</f>
        <v>19.625000394885117</v>
      </c>
      <c r="G3" s="37">
        <f>BDbDT_calcs!G49</f>
        <v>19.467468555628983</v>
      </c>
      <c r="H3" s="37">
        <f>BDbDT_calcs!H49</f>
        <v>19.310822228079516</v>
      </c>
      <c r="I3" s="37">
        <f>BDbDT_calcs!I49</f>
        <v>19.19739976313701</v>
      </c>
      <c r="J3" s="37">
        <f>BDbDT_calcs!J49</f>
        <v>19.094857757717762</v>
      </c>
      <c r="K3" s="37">
        <f>BDbDT_calcs!K49</f>
        <v>18.978489197826548</v>
      </c>
      <c r="L3" s="37">
        <f>BDbDT_calcs!L49</f>
        <v>18.869678956228249</v>
      </c>
      <c r="M3" s="37">
        <f>BDbDT_calcs!M49</f>
        <v>18.747004594320462</v>
      </c>
      <c r="N3" s="37">
        <f>BDbDT_calcs!N49</f>
        <v>18.613063917008311</v>
      </c>
      <c r="O3" s="37">
        <f>BDbDT_calcs!O49</f>
        <v>18.49469047952498</v>
      </c>
      <c r="P3" s="37">
        <f>BDbDT_calcs!P49</f>
        <v>18.351462049429294</v>
      </c>
      <c r="Q3" s="37">
        <f>BDbDT_calcs!Q49</f>
        <v>18.215571910043277</v>
      </c>
      <c r="R3" s="37">
        <f>BDbDT_calcs!R49</f>
        <v>18.067985884331232</v>
      </c>
      <c r="S3" s="37">
        <f>BDbDT_calcs!S49</f>
        <v>17.903980577341169</v>
      </c>
      <c r="T3" s="37">
        <f>BDbDT_calcs!T49</f>
        <v>17.736507083659234</v>
      </c>
      <c r="U3" s="37">
        <f>BDbDT_calcs!U49</f>
        <v>17.570768424119798</v>
      </c>
      <c r="V3" s="37">
        <f>BDbDT_calcs!V49</f>
        <v>17.41194998897711</v>
      </c>
      <c r="W3" s="37">
        <f>BDbDT_calcs!W49</f>
        <v>17.257059937381928</v>
      </c>
      <c r="X3" s="37">
        <f>BDbDT_calcs!X49</f>
        <v>17.100350229714113</v>
      </c>
      <c r="Y3" s="37">
        <f>BDbDT_calcs!Y49</f>
        <v>16.955329595891524</v>
      </c>
      <c r="Z3" s="37">
        <f>BDbDT_calcs!Z49</f>
        <v>16.808057394565509</v>
      </c>
      <c r="AA3" s="37">
        <f>BDbDT_calcs!AA49</f>
        <v>16.669283597108244</v>
      </c>
      <c r="AB3" s="37">
        <f>BDbDT_calcs!AB49</f>
        <v>16.547106389282771</v>
      </c>
    </row>
    <row r="4" spans="1:28" x14ac:dyDescent="0.25">
      <c r="A4" s="4" t="s">
        <v>217</v>
      </c>
      <c r="B4" s="37">
        <f>BDbDT_calcs!B50</f>
        <v>30.393833354333303</v>
      </c>
      <c r="C4" s="37">
        <f>BDbDT_calcs!C50</f>
        <v>30.31523130225268</v>
      </c>
      <c r="D4" s="37">
        <f>BDbDT_calcs!D50</f>
        <v>30.043114120328273</v>
      </c>
      <c r="E4" s="37">
        <f>BDbDT_calcs!E50</f>
        <v>29.769888833003183</v>
      </c>
      <c r="F4" s="37">
        <f>BDbDT_calcs!F50</f>
        <v>29.498843930542023</v>
      </c>
      <c r="G4" s="37">
        <f>BDbDT_calcs!G50</f>
        <v>29.233078596720549</v>
      </c>
      <c r="H4" s="37">
        <f>BDbDT_calcs!H50</f>
        <v>28.96051093157033</v>
      </c>
      <c r="I4" s="37">
        <f>BDbDT_calcs!I50</f>
        <v>28.775865325708722</v>
      </c>
      <c r="J4" s="37">
        <f>BDbDT_calcs!J50</f>
        <v>28.580142779207637</v>
      </c>
      <c r="K4" s="37">
        <f>BDbDT_calcs!K50</f>
        <v>28.375342177048569</v>
      </c>
      <c r="L4" s="37">
        <f>BDbDT_calcs!L50</f>
        <v>28.158360962101995</v>
      </c>
      <c r="M4" s="37">
        <f>BDbDT_calcs!M50</f>
        <v>27.929128302715494</v>
      </c>
      <c r="N4" s="37">
        <f>BDbDT_calcs!N50</f>
        <v>27.687532682398967</v>
      </c>
      <c r="O4" s="37">
        <f>BDbDT_calcs!O50</f>
        <v>27.424168949658448</v>
      </c>
      <c r="P4" s="37">
        <f>BDbDT_calcs!P50</f>
        <v>27.151206367881663</v>
      </c>
      <c r="Q4" s="37">
        <f>BDbDT_calcs!Q50</f>
        <v>26.865312142494513</v>
      </c>
      <c r="R4" s="37">
        <f>BDbDT_calcs!R50</f>
        <v>26.566197904666119</v>
      </c>
      <c r="S4" s="37">
        <f>BDbDT_calcs!S50</f>
        <v>26.233279180525109</v>
      </c>
      <c r="T4" s="37">
        <f>BDbDT_calcs!T50</f>
        <v>25.902964099971214</v>
      </c>
      <c r="U4" s="37">
        <f>BDbDT_calcs!U50</f>
        <v>25.574900961965259</v>
      </c>
      <c r="V4" s="37">
        <f>BDbDT_calcs!V50</f>
        <v>25.251797721725129</v>
      </c>
      <c r="W4" s="37">
        <f>BDbDT_calcs!W50</f>
        <v>24.939499910750964</v>
      </c>
      <c r="X4" s="37">
        <f>BDbDT_calcs!X50</f>
        <v>24.640765282582088</v>
      </c>
      <c r="Y4" s="37">
        <f>BDbDT_calcs!Y50</f>
        <v>24.349062471061746</v>
      </c>
      <c r="Z4" s="37">
        <f>BDbDT_calcs!Z50</f>
        <v>24.067197261111716</v>
      </c>
      <c r="AA4" s="37">
        <f>BDbDT_calcs!AA50</f>
        <v>23.801182981755282</v>
      </c>
      <c r="AB4" s="37">
        <f>BDbDT_calcs!AB50</f>
        <v>23.544415924331922</v>
      </c>
    </row>
    <row r="5" spans="1:28" x14ac:dyDescent="0.25">
      <c r="A5" s="4" t="s">
        <v>218</v>
      </c>
      <c r="B5" s="37">
        <f>BDbDT_calcs!B51</f>
        <v>2.508977920876057</v>
      </c>
      <c r="C5" s="37">
        <f>BDbDT_calcs!C51</f>
        <v>2.4851739634714565</v>
      </c>
      <c r="D5" s="37">
        <f>BDbDT_calcs!D51</f>
        <v>2.4457628968773943</v>
      </c>
      <c r="E5" s="37">
        <f>BDbDT_calcs!E51</f>
        <v>2.4057738319629247</v>
      </c>
      <c r="F5" s="37">
        <f>BDbDT_calcs!F51</f>
        <v>2.3652206070723478</v>
      </c>
      <c r="G5" s="37">
        <f>BDbDT_calcs!G51</f>
        <v>2.3251701830708895</v>
      </c>
      <c r="H5" s="37">
        <f>BDbDT_calcs!H51</f>
        <v>2.2840291614481654</v>
      </c>
      <c r="I5" s="37">
        <f>BDbDT_calcs!I51</f>
        <v>2.250130571249402</v>
      </c>
      <c r="J5" s="37">
        <f>BDbDT_calcs!J51</f>
        <v>2.2165222432034719</v>
      </c>
      <c r="K5" s="37">
        <f>BDbDT_calcs!K51</f>
        <v>2.1831165825820769</v>
      </c>
      <c r="L5" s="37">
        <f>BDbDT_calcs!L51</f>
        <v>2.1509789886893507</v>
      </c>
      <c r="M5" s="37">
        <f>BDbDT_calcs!M51</f>
        <v>2.1206436502801664</v>
      </c>
      <c r="N5" s="37">
        <f>BDbDT_calcs!N51</f>
        <v>2.0904985755230876</v>
      </c>
      <c r="O5" s="37">
        <f>BDbDT_calcs!O51</f>
        <v>2.0621497228881376</v>
      </c>
      <c r="P5" s="37">
        <f>BDbDT_calcs!P51</f>
        <v>2.0339779772778508</v>
      </c>
      <c r="Q5" s="37">
        <f>BDbDT_calcs!Q51</f>
        <v>2.0070494243255284</v>
      </c>
      <c r="R5" s="37">
        <f>BDbDT_calcs!R51</f>
        <v>1.9808129884012726</v>
      </c>
      <c r="S5" s="37">
        <f>BDbDT_calcs!S51</f>
        <v>1.952738778967664</v>
      </c>
      <c r="T5" s="37">
        <f>BDbDT_calcs!T51</f>
        <v>1.9253917373113303</v>
      </c>
      <c r="U5" s="37">
        <f>BDbDT_calcs!U51</f>
        <v>1.8982029038165993</v>
      </c>
      <c r="V5" s="37">
        <f>BDbDT_calcs!V51</f>
        <v>1.8722299435695184</v>
      </c>
      <c r="W5" s="37">
        <f>BDbDT_calcs!W51</f>
        <v>1.845805805749259</v>
      </c>
      <c r="X5" s="37">
        <f>BDbDT_calcs!X51</f>
        <v>1.8205355782810906</v>
      </c>
      <c r="Y5" s="37">
        <f>BDbDT_calcs!Y51</f>
        <v>1.7969512602127127</v>
      </c>
      <c r="Z5" s="37">
        <f>BDbDT_calcs!Z51</f>
        <v>1.7733844791764399</v>
      </c>
      <c r="AA5" s="37">
        <f>BDbDT_calcs!AA51</f>
        <v>1.7509083305666606</v>
      </c>
      <c r="AB5" s="37">
        <f>BDbDT_calcs!AB51</f>
        <v>1.728398726474925</v>
      </c>
    </row>
    <row r="6" spans="1:28" x14ac:dyDescent="0.25">
      <c r="A6" s="4" t="s">
        <v>219</v>
      </c>
      <c r="B6" s="37">
        <f>BDbDT_calcs!B52</f>
        <v>0.65511715478839672</v>
      </c>
      <c r="C6" s="37">
        <f>BDbDT_calcs!C52</f>
        <v>0.66005181640330157</v>
      </c>
      <c r="D6" s="37">
        <f>BDbDT_calcs!D52</f>
        <v>0.66071626477401957</v>
      </c>
      <c r="E6" s="37">
        <f>BDbDT_calcs!E52</f>
        <v>0.66222038393409899</v>
      </c>
      <c r="F6" s="37">
        <f>BDbDT_calcs!F52</f>
        <v>0.66380721156052069</v>
      </c>
      <c r="G6" s="37">
        <f>BDbDT_calcs!G52</f>
        <v>0.66548038425535527</v>
      </c>
      <c r="H6" s="37">
        <f>BDbDT_calcs!H52</f>
        <v>0.66724721506744056</v>
      </c>
      <c r="I6" s="37">
        <f>BDbDT_calcs!I52</f>
        <v>0.67096225178344937</v>
      </c>
      <c r="J6" s="37">
        <f>BDbDT_calcs!J52</f>
        <v>0.67479468235569984</v>
      </c>
      <c r="K6" s="37">
        <f>BDbDT_calcs!K52</f>
        <v>0.68024105018836944</v>
      </c>
      <c r="L6" s="37">
        <f>BDbDT_calcs!L52</f>
        <v>0.68427429380064553</v>
      </c>
      <c r="M6" s="37">
        <f>BDbDT_calcs!M52</f>
        <v>0.68841287846110244</v>
      </c>
      <c r="N6" s="37">
        <f>BDbDT_calcs!N52</f>
        <v>0.69266002786533654</v>
      </c>
      <c r="O6" s="37">
        <f>BDbDT_calcs!O52</f>
        <v>0.69701908514910904</v>
      </c>
      <c r="P6" s="37">
        <f>BDbDT_calcs!P52</f>
        <v>0.70072761728182587</v>
      </c>
      <c r="Q6" s="37">
        <f>BDbDT_calcs!Q52</f>
        <v>0.70531511943364789</v>
      </c>
      <c r="R6" s="37">
        <f>BDbDT_calcs!R52</f>
        <v>0.70848169554846951</v>
      </c>
      <c r="S6" s="37">
        <f>BDbDT_calcs!S52</f>
        <v>0.7118075354865494</v>
      </c>
      <c r="T6" s="37">
        <f>BDbDT_calcs!T52</f>
        <v>0.71601200335433601</v>
      </c>
      <c r="U6" s="37">
        <f>BDbDT_calcs!U52</f>
        <v>0.71877843134939623</v>
      </c>
      <c r="V6" s="37">
        <f>BDbDT_calcs!V52</f>
        <v>0.72241203206101923</v>
      </c>
      <c r="W6" s="37">
        <f>BDbDT_calcs!W52</f>
        <v>0.72613372059121895</v>
      </c>
      <c r="X6" s="37">
        <f>BDbDT_calcs!X52</f>
        <v>0.72915811995402346</v>
      </c>
      <c r="Y6" s="37">
        <f>BDbDT_calcs!Y52</f>
        <v>0.73380944227826395</v>
      </c>
      <c r="Z6" s="37">
        <f>BDbDT_calcs!Z52</f>
        <v>0.73696955499951822</v>
      </c>
      <c r="AA6" s="37">
        <f>BDbDT_calcs!AA52</f>
        <v>0.74018229663161816</v>
      </c>
      <c r="AB6" s="37">
        <f>BDbDT_calcs!AB52</f>
        <v>0.74343843679494592</v>
      </c>
    </row>
    <row r="7" spans="1:28" x14ac:dyDescent="0.25">
      <c r="A7" s="4" t="s">
        <v>220</v>
      </c>
      <c r="B7" s="37">
        <f>BDbDT_calcs!B53</f>
        <v>10.131274647795797</v>
      </c>
      <c r="C7" s="37">
        <f>BDbDT_calcs!C53</f>
        <v>10.259258563857571</v>
      </c>
      <c r="D7" s="37">
        <f>BDbDT_calcs!D53</f>
        <v>10.300896792369263</v>
      </c>
      <c r="E7" s="37">
        <f>BDbDT_calcs!E53</f>
        <v>10.356961030578097</v>
      </c>
      <c r="F7" s="37">
        <f>BDbDT_calcs!F53</f>
        <v>10.407517712014339</v>
      </c>
      <c r="G7" s="37">
        <f>BDbDT_calcs!G53</f>
        <v>10.446038038833734</v>
      </c>
      <c r="H7" s="37">
        <f>BDbDT_calcs!H53</f>
        <v>10.512493637066409</v>
      </c>
      <c r="I7" s="37">
        <f>BDbDT_calcs!I53</f>
        <v>10.583069588070741</v>
      </c>
      <c r="J7" s="37">
        <f>BDbDT_calcs!J53</f>
        <v>10.662167009946911</v>
      </c>
      <c r="K7" s="37">
        <f>BDbDT_calcs!K53</f>
        <v>10.722891897711072</v>
      </c>
      <c r="L7" s="37">
        <f>BDbDT_calcs!L53</f>
        <v>10.791875970249855</v>
      </c>
      <c r="M7" s="37">
        <f>BDbDT_calcs!M53</f>
        <v>10.842520928447604</v>
      </c>
      <c r="N7" s="37">
        <f>BDbDT_calcs!N53</f>
        <v>10.908195023739427</v>
      </c>
      <c r="O7" s="37">
        <f>BDbDT_calcs!O53</f>
        <v>10.962234000563853</v>
      </c>
      <c r="P7" s="37">
        <f>BDbDT_calcs!P53</f>
        <v>11.004596052570601</v>
      </c>
      <c r="Q7" s="37">
        <f>BDbDT_calcs!Q53</f>
        <v>11.035205982463873</v>
      </c>
      <c r="R7" s="37">
        <f>BDbDT_calcs!R53</f>
        <v>11.067444751562478</v>
      </c>
      <c r="S7" s="37">
        <f>BDbDT_calcs!S53</f>
        <v>11.083335965784272</v>
      </c>
      <c r="T7" s="37">
        <f>BDbDT_calcs!T53</f>
        <v>11.073756844048955</v>
      </c>
      <c r="U7" s="37">
        <f>BDbDT_calcs!U53</f>
        <v>11.079117075094473</v>
      </c>
      <c r="V7" s="37">
        <f>BDbDT_calcs!V53</f>
        <v>11.072220998957185</v>
      </c>
      <c r="W7" s="37">
        <f>BDbDT_calcs!W53</f>
        <v>11.066439436933365</v>
      </c>
      <c r="X7" s="37">
        <f>BDbDT_calcs!X53</f>
        <v>11.075240409441445</v>
      </c>
      <c r="Y7" s="37">
        <f>BDbDT_calcs!Y53</f>
        <v>11.064482712154351</v>
      </c>
      <c r="Z7" s="37">
        <f>BDbDT_calcs!Z53</f>
        <v>11.074932399864515</v>
      </c>
      <c r="AA7" s="37">
        <f>BDbDT_calcs!AA53</f>
        <v>11.065441377334121</v>
      </c>
      <c r="AB7" s="37">
        <f>BDbDT_calcs!AB53</f>
        <v>11.076953503391337</v>
      </c>
    </row>
    <row r="8" spans="1:28" x14ac:dyDescent="0.25">
      <c r="A8" s="4" t="s">
        <v>221</v>
      </c>
      <c r="B8" s="37">
        <f>BDbDT_calcs!B54</f>
        <v>2.93605238286221</v>
      </c>
      <c r="C8" s="37">
        <f>BDbDT_calcs!C54</f>
        <v>2.9601764480306625</v>
      </c>
      <c r="D8" s="37">
        <f>BDbDT_calcs!D54</f>
        <v>2.9666839312124842</v>
      </c>
      <c r="E8" s="37">
        <f>BDbDT_calcs!E54</f>
        <v>2.9742947801145534</v>
      </c>
      <c r="F8" s="37">
        <f>BDbDT_calcs!F54</f>
        <v>2.9845596854780765</v>
      </c>
      <c r="G8" s="37">
        <f>BDbDT_calcs!G54</f>
        <v>2.9921572328018873</v>
      </c>
      <c r="H8" s="37">
        <f>BDbDT_calcs!H54</f>
        <v>2.9994164427759507</v>
      </c>
      <c r="I8" s="37">
        <f>BDbDT_calcs!I54</f>
        <v>3.0146738944152052</v>
      </c>
      <c r="J8" s="37">
        <f>BDbDT_calcs!J54</f>
        <v>3.0289339083478466</v>
      </c>
      <c r="K8" s="37">
        <f>BDbDT_calcs!K54</f>
        <v>3.0420992268794333</v>
      </c>
      <c r="L8" s="37">
        <f>BDbDT_calcs!L54</f>
        <v>3.0534175009067654</v>
      </c>
      <c r="M8" s="37">
        <f>BDbDT_calcs!M54</f>
        <v>3.0628927648043658</v>
      </c>
      <c r="N8" s="37">
        <f>BDbDT_calcs!N54</f>
        <v>3.0705245692443905</v>
      </c>
      <c r="O8" s="37">
        <f>BDbDT_calcs!O54</f>
        <v>3.0763109134991811</v>
      </c>
      <c r="P8" s="37">
        <f>BDbDT_calcs!P54</f>
        <v>3.0779386074180857</v>
      </c>
      <c r="Q8" s="37">
        <f>BDbDT_calcs!Q54</f>
        <v>3.0776874803997516</v>
      </c>
      <c r="R8" s="37">
        <f>BDbDT_calcs!R54</f>
        <v>3.073219376787697</v>
      </c>
      <c r="S8" s="37">
        <f>BDbDT_calcs!S54</f>
        <v>3.0660358631982865</v>
      </c>
      <c r="T8" s="37">
        <f>BDbDT_calcs!T54</f>
        <v>3.0561550750369739</v>
      </c>
      <c r="U8" s="37">
        <f>BDbDT_calcs!U54</f>
        <v>3.0435330793153006</v>
      </c>
      <c r="V8" s="37">
        <f>BDbDT_calcs!V54</f>
        <v>3.0312218081443407</v>
      </c>
      <c r="W8" s="37">
        <f>BDbDT_calcs!W54</f>
        <v>3.0152837231580532</v>
      </c>
      <c r="X8" s="37">
        <f>BDbDT_calcs!X54</f>
        <v>3.0034508252688381</v>
      </c>
      <c r="Y8" s="37">
        <f>BDbDT_calcs!Y54</f>
        <v>2.9910263614095611</v>
      </c>
      <c r="Z8" s="37">
        <f>BDbDT_calcs!Z54</f>
        <v>2.9787463493432234</v>
      </c>
      <c r="AA8" s="37">
        <f>BDbDT_calcs!AA54</f>
        <v>2.9673534437101599</v>
      </c>
      <c r="AB8" s="37">
        <f>BDbDT_calcs!AB54</f>
        <v>2.957598697594368</v>
      </c>
    </row>
    <row r="9" spans="1:28" x14ac:dyDescent="0.25">
      <c r="A9" s="4" t="s">
        <v>222</v>
      </c>
      <c r="B9" s="37">
        <f>BDbDT_calcs!B55</f>
        <v>42.333611206349978</v>
      </c>
      <c r="C9" s="37">
        <f>BDbDT_calcs!C55</f>
        <v>42.088253688434989</v>
      </c>
      <c r="D9" s="37">
        <f>BDbDT_calcs!D55</f>
        <v>41.559998838266615</v>
      </c>
      <c r="E9" s="37">
        <f>BDbDT_calcs!E55</f>
        <v>41.032989053043721</v>
      </c>
      <c r="F9" s="37">
        <f>BDbDT_calcs!F55</f>
        <v>40.491300479685115</v>
      </c>
      <c r="G9" s="37">
        <f>BDbDT_calcs!G55</f>
        <v>39.964019019129815</v>
      </c>
      <c r="H9" s="37">
        <f>BDbDT_calcs!H55</f>
        <v>39.438394224500961</v>
      </c>
      <c r="I9" s="37">
        <f>BDbDT_calcs!I55</f>
        <v>39.025240543349483</v>
      </c>
      <c r="J9" s="37">
        <f>BDbDT_calcs!J55</f>
        <v>38.611065043610225</v>
      </c>
      <c r="K9" s="37">
        <f>BDbDT_calcs!K55</f>
        <v>38.191170957966428</v>
      </c>
      <c r="L9" s="37">
        <f>BDbDT_calcs!L55</f>
        <v>37.771957639861846</v>
      </c>
      <c r="M9" s="37">
        <f>BDbDT_calcs!M55</f>
        <v>37.35011621684076</v>
      </c>
      <c r="N9" s="37">
        <f>BDbDT_calcs!N55</f>
        <v>36.932002096314889</v>
      </c>
      <c r="O9" s="37">
        <f>BDbDT_calcs!O55</f>
        <v>36.504519684830754</v>
      </c>
      <c r="P9" s="37">
        <f>BDbDT_calcs!P55</f>
        <v>36.077208167058046</v>
      </c>
      <c r="Q9" s="37">
        <f>BDbDT_calcs!Q55</f>
        <v>35.649818669398343</v>
      </c>
      <c r="R9" s="37">
        <f>BDbDT_calcs!R55</f>
        <v>35.225330268587861</v>
      </c>
      <c r="S9" s="37">
        <f>BDbDT_calcs!S55</f>
        <v>34.758493710137358</v>
      </c>
      <c r="T9" s="37">
        <f>BDbDT_calcs!T55</f>
        <v>34.3015892615879</v>
      </c>
      <c r="U9" s="37">
        <f>BDbDT_calcs!U55</f>
        <v>33.860745027582809</v>
      </c>
      <c r="V9" s="37">
        <f>BDbDT_calcs!V55</f>
        <v>33.42887816968787</v>
      </c>
      <c r="W9" s="37">
        <f>BDbDT_calcs!W55</f>
        <v>33.02191432473078</v>
      </c>
      <c r="X9" s="37">
        <f>BDbDT_calcs!X55</f>
        <v>32.622879105389956</v>
      </c>
      <c r="Y9" s="37">
        <f>BDbDT_calcs!Y55</f>
        <v>32.24134746411351</v>
      </c>
      <c r="Z9" s="37">
        <f>BDbDT_calcs!Z55</f>
        <v>31.873584411104943</v>
      </c>
      <c r="AA9" s="37">
        <f>BDbDT_calcs!AA55</f>
        <v>31.515844502969525</v>
      </c>
      <c r="AB9" s="37">
        <f>BDbDT_calcs!AB55</f>
        <v>31.171049527639518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4221.4788407547348</v>
      </c>
      <c r="C2" s="37">
        <f>BDbDT_calcs!C58</f>
        <v>4315.7133699187134</v>
      </c>
      <c r="D2" s="37">
        <f>BDbDT_calcs!D58</f>
        <v>4381.4869852945176</v>
      </c>
      <c r="E2" s="37">
        <f>BDbDT_calcs!E58</f>
        <v>4447.1828269937287</v>
      </c>
      <c r="F2" s="37">
        <f>BDbDT_calcs!F58</f>
        <v>4513.1863319343938</v>
      </c>
      <c r="G2" s="37">
        <f>BDbDT_calcs!G58</f>
        <v>4579.6337772793704</v>
      </c>
      <c r="H2" s="37">
        <f>BDbDT_calcs!H58</f>
        <v>4646.2151678420496</v>
      </c>
      <c r="I2" s="37">
        <f>BDbDT_calcs!I58</f>
        <v>4725.6663252545623</v>
      </c>
      <c r="J2" s="37">
        <f>BDbDT_calcs!J58</f>
        <v>4804.6525574580537</v>
      </c>
      <c r="K2" s="37">
        <f>BDbDT_calcs!K58</f>
        <v>4883.0887094597401</v>
      </c>
      <c r="L2" s="37">
        <f>BDbDT_calcs!L58</f>
        <v>4960.5589475475335</v>
      </c>
      <c r="M2" s="37">
        <f>BDbDT_calcs!M58</f>
        <v>5036.9753049978317</v>
      </c>
      <c r="N2" s="37">
        <f>BDbDT_calcs!N58</f>
        <v>5111.8162334801464</v>
      </c>
      <c r="O2" s="37">
        <f>BDbDT_calcs!O58</f>
        <v>5184.8792709665468</v>
      </c>
      <c r="P2" s="37">
        <f>BDbDT_calcs!P58</f>
        <v>5255.4860138791028</v>
      </c>
      <c r="Q2" s="37">
        <f>BDbDT_calcs!Q58</f>
        <v>5323.5123720357378</v>
      </c>
      <c r="R2" s="37">
        <f>BDbDT_calcs!R58</f>
        <v>5388.129684281741</v>
      </c>
      <c r="S2" s="37">
        <f>BDbDT_calcs!S58</f>
        <v>5443.8606747337917</v>
      </c>
      <c r="T2" s="37">
        <f>BDbDT_calcs!T58</f>
        <v>5495.8231926847157</v>
      </c>
      <c r="U2" s="37">
        <f>BDbDT_calcs!U58</f>
        <v>5544.2815317875093</v>
      </c>
      <c r="V2" s="37">
        <f>BDbDT_calcs!V58</f>
        <v>5587.8679504461452</v>
      </c>
      <c r="W2" s="37">
        <f>BDbDT_calcs!W58</f>
        <v>5626.8668423698518</v>
      </c>
      <c r="X2" s="37">
        <f>BDbDT_calcs!X58</f>
        <v>5660.9222408042106</v>
      </c>
      <c r="Y2" s="37">
        <f>BDbDT_calcs!Y58</f>
        <v>5692.32640013521</v>
      </c>
      <c r="Z2" s="37">
        <f>BDbDT_calcs!Z58</f>
        <v>5718.9622481875695</v>
      </c>
      <c r="AA2" s="37">
        <f>BDbDT_calcs!AA58</f>
        <v>5741.1311489488608</v>
      </c>
      <c r="AB2" s="37">
        <f>BDbDT_calcs!AB58</f>
        <v>5759.3050353384342</v>
      </c>
    </row>
    <row r="3" spans="1:28" x14ac:dyDescent="0.25">
      <c r="A3" s="4" t="s">
        <v>216</v>
      </c>
      <c r="B3" s="37">
        <f>BDbDT_calcs!B59</f>
        <v>3762.5195689806396</v>
      </c>
      <c r="C3" s="37">
        <f>BDbDT_calcs!C59</f>
        <v>3836.5461335860314</v>
      </c>
      <c r="D3" s="37">
        <f>BDbDT_calcs!D59</f>
        <v>3885.5329520355435</v>
      </c>
      <c r="E3" s="37">
        <f>BDbDT_calcs!E59</f>
        <v>3936.4870201474746</v>
      </c>
      <c r="F3" s="37">
        <f>BDbDT_calcs!F59</f>
        <v>3990.5148362931</v>
      </c>
      <c r="G3" s="37">
        <f>BDbDT_calcs!G59</f>
        <v>4047.8185173965994</v>
      </c>
      <c r="H3" s="37">
        <f>BDbDT_calcs!H59</f>
        <v>4108.7631391822606</v>
      </c>
      <c r="I3" s="37">
        <f>BDbDT_calcs!I59</f>
        <v>4184.4676559712352</v>
      </c>
      <c r="J3" s="37">
        <f>BDbDT_calcs!J59</f>
        <v>4263.5532523327538</v>
      </c>
      <c r="K3" s="37">
        <f>BDbDT_calcs!K59</f>
        <v>4344.9508805416644</v>
      </c>
      <c r="L3" s="37">
        <f>BDbDT_calcs!L59</f>
        <v>4428.5872461379349</v>
      </c>
      <c r="M3" s="37">
        <f>BDbDT_calcs!M59</f>
        <v>4514.2084285157762</v>
      </c>
      <c r="N3" s="37">
        <f>BDbDT_calcs!N59</f>
        <v>4600.8635001832909</v>
      </c>
      <c r="O3" s="37">
        <f>BDbDT_calcs!O59</f>
        <v>4687.6394816693073</v>
      </c>
      <c r="P3" s="37">
        <f>BDbDT_calcs!P59</f>
        <v>4774.3339548337008</v>
      </c>
      <c r="Q3" s="37">
        <f>BDbDT_calcs!Q59</f>
        <v>4859.6296462585979</v>
      </c>
      <c r="R3" s="37">
        <f>BDbDT_calcs!R59</f>
        <v>4943.1467722247771</v>
      </c>
      <c r="S3" s="37">
        <f>BDbDT_calcs!S59</f>
        <v>5018.9025565890634</v>
      </c>
      <c r="T3" s="37">
        <f>BDbDT_calcs!T59</f>
        <v>5091.4755331422566</v>
      </c>
      <c r="U3" s="37">
        <f>BDbDT_calcs!U59</f>
        <v>5160.3718829486506</v>
      </c>
      <c r="V3" s="37">
        <f>BDbDT_calcs!V59</f>
        <v>5224.3923176825974</v>
      </c>
      <c r="W3" s="37">
        <f>BDbDT_calcs!W59</f>
        <v>5282.4420673755567</v>
      </c>
      <c r="X3" s="37">
        <f>BDbDT_calcs!X59</f>
        <v>5334.7506693574542</v>
      </c>
      <c r="Y3" s="37">
        <f>BDbDT_calcs!Y59</f>
        <v>5383.7575626852231</v>
      </c>
      <c r="Z3" s="37">
        <f>BDbDT_calcs!Z59</f>
        <v>5427.105031965234</v>
      </c>
      <c r="AA3" s="37">
        <f>BDbDT_calcs!AA59</f>
        <v>5463.8979072169477</v>
      </c>
      <c r="AB3" s="37">
        <f>BDbDT_calcs!AB59</f>
        <v>5494.1641877216734</v>
      </c>
    </row>
    <row r="4" spans="1:28" x14ac:dyDescent="0.25">
      <c r="A4" s="4" t="s">
        <v>217</v>
      </c>
      <c r="B4" s="37">
        <f>BDbDT_calcs!B60</f>
        <v>7227.5721761237828</v>
      </c>
      <c r="C4" s="37">
        <f>BDbDT_calcs!C60</f>
        <v>7378.147802256387</v>
      </c>
      <c r="D4" s="37">
        <f>BDbDT_calcs!D60</f>
        <v>7479.700937266055</v>
      </c>
      <c r="E4" s="37">
        <f>BDbDT_calcs!E60</f>
        <v>7582.3164381905326</v>
      </c>
      <c r="F4" s="37">
        <f>BDbDT_calcs!F60</f>
        <v>7687.5505877083979</v>
      </c>
      <c r="G4" s="37">
        <f>BDbDT_calcs!G60</f>
        <v>7795.4364957704638</v>
      </c>
      <c r="H4" s="37">
        <f>BDbDT_calcs!H60</f>
        <v>7906.2623524888249</v>
      </c>
      <c r="I4" s="37">
        <f>BDbDT_calcs!I60</f>
        <v>8041.3922699373397</v>
      </c>
      <c r="J4" s="37">
        <f>BDbDT_calcs!J60</f>
        <v>8178.6100282568659</v>
      </c>
      <c r="K4" s="37">
        <f>BDbDT_calcs!K60</f>
        <v>8316.4858334176442</v>
      </c>
      <c r="L4" s="37">
        <f>BDbDT_calcs!L60</f>
        <v>8454.5894239938534</v>
      </c>
      <c r="M4" s="37">
        <f>BDbDT_calcs!M60</f>
        <v>8592.60083592306</v>
      </c>
      <c r="N4" s="37">
        <f>BDbDT_calcs!N60</f>
        <v>8728.9647826039036</v>
      </c>
      <c r="O4" s="37">
        <f>BDbDT_calcs!O60</f>
        <v>8862.807733763917</v>
      </c>
      <c r="P4" s="37">
        <f>BDbDT_calcs!P60</f>
        <v>8992.9730382596408</v>
      </c>
      <c r="Q4" s="37">
        <f>BDbDT_calcs!Q60</f>
        <v>9118.2261139174934</v>
      </c>
      <c r="R4" s="37">
        <f>BDbDT_calcs!R60</f>
        <v>9237.3646823993968</v>
      </c>
      <c r="S4" s="37">
        <f>BDbDT_calcs!S60</f>
        <v>9340.1106888969844</v>
      </c>
      <c r="T4" s="37">
        <f>BDbDT_calcs!T60</f>
        <v>9435.1780966398273</v>
      </c>
      <c r="U4" s="37">
        <f>BDbDT_calcs!U60</f>
        <v>9522.4851061142181</v>
      </c>
      <c r="V4" s="37">
        <f>BDbDT_calcs!V60</f>
        <v>9599.4158996876668</v>
      </c>
      <c r="W4" s="37">
        <f>BDbDT_calcs!W60</f>
        <v>9665.1490063967267</v>
      </c>
      <c r="X4" s="37">
        <f>BDbDT_calcs!X60</f>
        <v>9719.7828689923954</v>
      </c>
      <c r="Y4" s="37">
        <f>BDbDT_calcs!Y60</f>
        <v>9768.1835818979434</v>
      </c>
      <c r="Z4" s="37">
        <f>BDbDT_calcs!Z60</f>
        <v>9805.8944844925736</v>
      </c>
      <c r="AA4" s="37">
        <f>BDbDT_calcs!AA60</f>
        <v>9832.1974287362173</v>
      </c>
      <c r="AB4" s="37">
        <f>BDbDT_calcs!AB60</f>
        <v>9847.8162210673872</v>
      </c>
    </row>
    <row r="5" spans="1:28" x14ac:dyDescent="0.25">
      <c r="A5" s="4" t="s">
        <v>218</v>
      </c>
      <c r="B5" s="37">
        <f>BDbDT_calcs!B61</f>
        <v>193.97327720729334</v>
      </c>
      <c r="C5" s="37">
        <f>BDbDT_calcs!C61</f>
        <v>197.69383867164487</v>
      </c>
      <c r="D5" s="37">
        <f>BDbDT_calcs!D61</f>
        <v>200.13248581423886</v>
      </c>
      <c r="E5" s="37">
        <f>BDbDT_calcs!E61</f>
        <v>202.59252423259537</v>
      </c>
      <c r="F5" s="37">
        <f>BDbDT_calcs!F61</f>
        <v>205.14050834335652</v>
      </c>
      <c r="G5" s="37">
        <f>BDbDT_calcs!G61</f>
        <v>207.78226668552534</v>
      </c>
      <c r="H5" s="37">
        <f>BDbDT_calcs!H61</f>
        <v>210.51312990032076</v>
      </c>
      <c r="I5" s="37">
        <f>BDbDT_calcs!I61</f>
        <v>213.93143066468514</v>
      </c>
      <c r="J5" s="37">
        <f>BDbDT_calcs!J61</f>
        <v>217.4503344898427</v>
      </c>
      <c r="K5" s="37">
        <f>BDbDT_calcs!K61</f>
        <v>221.0571251456077</v>
      </c>
      <c r="L5" s="37">
        <f>BDbDT_calcs!L61</f>
        <v>224.75321420990102</v>
      </c>
      <c r="M5" s="37">
        <f>BDbDT_calcs!M61</f>
        <v>228.52817369599452</v>
      </c>
      <c r="N5" s="37">
        <f>BDbDT_calcs!N61</f>
        <v>232.39393735467485</v>
      </c>
      <c r="O5" s="37">
        <f>BDbDT_calcs!O61</f>
        <v>236.29265295469679</v>
      </c>
      <c r="P5" s="37">
        <f>BDbDT_calcs!P61</f>
        <v>240.2509766458862</v>
      </c>
      <c r="Q5" s="37">
        <f>BDbDT_calcs!Q61</f>
        <v>244.22073534957306</v>
      </c>
      <c r="R5" s="37">
        <f>BDbDT_calcs!R61</f>
        <v>248.1963549314182</v>
      </c>
      <c r="S5" s="37">
        <f>BDbDT_calcs!S61</f>
        <v>251.92445715693415</v>
      </c>
      <c r="T5" s="37">
        <f>BDbDT_calcs!T61</f>
        <v>255.60498892365877</v>
      </c>
      <c r="U5" s="37">
        <f>BDbDT_calcs!U61</f>
        <v>259.24129296754205</v>
      </c>
      <c r="V5" s="37">
        <f>BDbDT_calcs!V61</f>
        <v>262.80242014532348</v>
      </c>
      <c r="W5" s="37">
        <f>BDbDT_calcs!W61</f>
        <v>266.2385050135864</v>
      </c>
      <c r="X5" s="37">
        <f>BDbDT_calcs!X61</f>
        <v>269.53012815505264</v>
      </c>
      <c r="Y5" s="37">
        <f>BDbDT_calcs!Y61</f>
        <v>272.74385128911126</v>
      </c>
      <c r="Z5" s="37">
        <f>BDbDT_calcs!Z61</f>
        <v>275.80306494355995</v>
      </c>
      <c r="AA5" s="37">
        <f>BDbDT_calcs!AA61</f>
        <v>278.70350560901278</v>
      </c>
      <c r="AB5" s="37">
        <f>BDbDT_calcs!AB61</f>
        <v>281.41423609781191</v>
      </c>
    </row>
    <row r="6" spans="1:28" x14ac:dyDescent="0.25">
      <c r="A6" s="4" t="s">
        <v>219</v>
      </c>
      <c r="B6" s="37">
        <f>BDbDT_calcs!B62</f>
        <v>92.715436309443092</v>
      </c>
      <c r="C6" s="37">
        <f>BDbDT_calcs!C62</f>
        <v>95.281229913718263</v>
      </c>
      <c r="D6" s="37">
        <f>BDbDT_calcs!D62</f>
        <v>97.299805367724645</v>
      </c>
      <c r="E6" s="37">
        <f>BDbDT_calcs!E62</f>
        <v>99.463068710267237</v>
      </c>
      <c r="F6" s="37">
        <f>BDbDT_calcs!F62</f>
        <v>101.79995669129504</v>
      </c>
      <c r="G6" s="37">
        <f>BDbDT_calcs!G62</f>
        <v>104.3085613437609</v>
      </c>
      <c r="H6" s="37">
        <f>BDbDT_calcs!H62</f>
        <v>106.99607579053693</v>
      </c>
      <c r="I6" s="37">
        <f>BDbDT_calcs!I62</f>
        <v>110.16716052704598</v>
      </c>
      <c r="J6" s="37">
        <f>BDbDT_calcs!J62</f>
        <v>113.47759374348894</v>
      </c>
      <c r="K6" s="37">
        <f>BDbDT_calcs!K62</f>
        <v>116.90590837785805</v>
      </c>
      <c r="L6" s="37">
        <f>BDbDT_calcs!L62</f>
        <v>120.48315959091656</v>
      </c>
      <c r="M6" s="37">
        <f>BDbDT_calcs!M62</f>
        <v>124.18740124274156</v>
      </c>
      <c r="N6" s="37">
        <f>BDbDT_calcs!N62</f>
        <v>128.00418275129888</v>
      </c>
      <c r="O6" s="37">
        <f>BDbDT_calcs!O62</f>
        <v>131.91219788133526</v>
      </c>
      <c r="P6" s="37">
        <f>BDbDT_calcs!P62</f>
        <v>135.90061346914152</v>
      </c>
      <c r="Q6" s="37">
        <f>BDbDT_calcs!Q62</f>
        <v>139.94448610493208</v>
      </c>
      <c r="R6" s="37">
        <f>BDbDT_calcs!R62</f>
        <v>144.03156239903424</v>
      </c>
      <c r="S6" s="37">
        <f>BDbDT_calcs!S62</f>
        <v>147.98824947512355</v>
      </c>
      <c r="T6" s="37">
        <f>BDbDT_calcs!T62</f>
        <v>151.95948181415241</v>
      </c>
      <c r="U6" s="37">
        <f>BDbDT_calcs!U62</f>
        <v>155.91238356314196</v>
      </c>
      <c r="V6" s="37">
        <f>BDbDT_calcs!V62</f>
        <v>159.85183841336499</v>
      </c>
      <c r="W6" s="37">
        <f>BDbDT_calcs!W62</f>
        <v>163.76679014964645</v>
      </c>
      <c r="X6" s="37">
        <f>BDbDT_calcs!X62</f>
        <v>167.67064738333607</v>
      </c>
      <c r="Y6" s="37">
        <f>BDbDT_calcs!Y62</f>
        <v>171.55188570131412</v>
      </c>
      <c r="Z6" s="37">
        <f>BDbDT_calcs!Z62</f>
        <v>175.41513119110758</v>
      </c>
      <c r="AA6" s="37">
        <f>BDbDT_calcs!AA62</f>
        <v>179.25777066629195</v>
      </c>
      <c r="AB6" s="37">
        <f>BDbDT_calcs!AB62</f>
        <v>183.06603547311923</v>
      </c>
    </row>
    <row r="7" spans="1:28" x14ac:dyDescent="0.25">
      <c r="A7" s="4" t="s">
        <v>220</v>
      </c>
      <c r="B7" s="37">
        <f>BDbDT_calcs!B63</f>
        <v>446.71713175290915</v>
      </c>
      <c r="C7" s="37">
        <f>BDbDT_calcs!C63</f>
        <v>458.43674469574665</v>
      </c>
      <c r="D7" s="37">
        <f>BDbDT_calcs!D63</f>
        <v>467.59119501818452</v>
      </c>
      <c r="E7" s="37">
        <f>BDbDT_calcs!E63</f>
        <v>477.62062787375538</v>
      </c>
      <c r="F7" s="37">
        <f>BDbDT_calcs!F63</f>
        <v>487.73594034660545</v>
      </c>
      <c r="G7" s="37">
        <f>BDbDT_calcs!G63</f>
        <v>498.63395561593757</v>
      </c>
      <c r="H7" s="37">
        <f>BDbDT_calcs!H63</f>
        <v>509.86256970392321</v>
      </c>
      <c r="I7" s="37">
        <f>BDbDT_calcs!I63</f>
        <v>522.76382673061414</v>
      </c>
      <c r="J7" s="37">
        <f>BDbDT_calcs!J63</f>
        <v>535.9848105068827</v>
      </c>
      <c r="K7" s="37">
        <f>BDbDT_calcs!K63</f>
        <v>550.10697087395033</v>
      </c>
      <c r="L7" s="37">
        <f>BDbDT_calcs!L63</f>
        <v>564.60830114723854</v>
      </c>
      <c r="M7" s="37">
        <f>BDbDT_calcs!M63</f>
        <v>579.6645219568087</v>
      </c>
      <c r="N7" s="37">
        <f>BDbDT_calcs!N63</f>
        <v>595.02466029310972</v>
      </c>
      <c r="O7" s="37">
        <f>BDbDT_calcs!O63</f>
        <v>610.7377307998928</v>
      </c>
      <c r="P7" s="37">
        <f>BDbDT_calcs!P63</f>
        <v>626.96672973657735</v>
      </c>
      <c r="Q7" s="37">
        <f>BDbDT_calcs!Q63</f>
        <v>643.63292808871563</v>
      </c>
      <c r="R7" s="37">
        <f>BDbDT_calcs!R63</f>
        <v>660.61591202520697</v>
      </c>
      <c r="S7" s="37">
        <f>BDbDT_calcs!S63</f>
        <v>677.03522982707659</v>
      </c>
      <c r="T7" s="37">
        <f>BDbDT_calcs!T63</f>
        <v>693.73233122837814</v>
      </c>
      <c r="U7" s="37">
        <f>BDbDT_calcs!U63</f>
        <v>710.52626131962836</v>
      </c>
      <c r="V7" s="37">
        <f>BDbDT_calcs!V63</f>
        <v>727.2115345810189</v>
      </c>
      <c r="W7" s="37">
        <f>BDbDT_calcs!W63</f>
        <v>744.2316472682121</v>
      </c>
      <c r="X7" s="37">
        <f>BDbDT_calcs!X63</f>
        <v>761.22865493159077</v>
      </c>
      <c r="Y7" s="37">
        <f>BDbDT_calcs!Y63</f>
        <v>778.41809837107132</v>
      </c>
      <c r="Z7" s="37">
        <f>BDbDT_calcs!Z63</f>
        <v>795.50028641917515</v>
      </c>
      <c r="AA7" s="37">
        <f>BDbDT_calcs!AA63</f>
        <v>812.59007051248409</v>
      </c>
      <c r="AB7" s="37">
        <f>BDbDT_calcs!AB63</f>
        <v>829.80949446001102</v>
      </c>
    </row>
    <row r="8" spans="1:28" x14ac:dyDescent="0.25">
      <c r="A8" s="4" t="s">
        <v>221</v>
      </c>
      <c r="B8" s="37">
        <f>BDbDT_calcs!B64</f>
        <v>191.16827399896124</v>
      </c>
      <c r="C8" s="37">
        <f>BDbDT_calcs!C64</f>
        <v>198.70788799148843</v>
      </c>
      <c r="D8" s="37">
        <f>BDbDT_calcs!D64</f>
        <v>205.1008322890402</v>
      </c>
      <c r="E8" s="37">
        <f>BDbDT_calcs!E64</f>
        <v>211.64849455599952</v>
      </c>
      <c r="F8" s="37">
        <f>BDbDT_calcs!F64</f>
        <v>218.35377051322357</v>
      </c>
      <c r="G8" s="37">
        <f>BDbDT_calcs!G64</f>
        <v>225.24387685584193</v>
      </c>
      <c r="H8" s="37">
        <f>BDbDT_calcs!H64</f>
        <v>232.39290328499541</v>
      </c>
      <c r="I8" s="37">
        <f>BDbDT_calcs!I64</f>
        <v>240.46564937282952</v>
      </c>
      <c r="J8" s="37">
        <f>BDbDT_calcs!J64</f>
        <v>248.77887305097852</v>
      </c>
      <c r="K8" s="37">
        <f>BDbDT_calcs!K64</f>
        <v>257.39222128794461</v>
      </c>
      <c r="L8" s="37">
        <f>BDbDT_calcs!L64</f>
        <v>266.35230952812344</v>
      </c>
      <c r="M8" s="37">
        <f>BDbDT_calcs!M64</f>
        <v>275.59692066386032</v>
      </c>
      <c r="N8" s="37">
        <f>BDbDT_calcs!N64</f>
        <v>285.20051879701919</v>
      </c>
      <c r="O8" s="37">
        <f>BDbDT_calcs!O64</f>
        <v>295.11876618341955</v>
      </c>
      <c r="P8" s="37">
        <f>BDbDT_calcs!P64</f>
        <v>305.34150066783332</v>
      </c>
      <c r="Q8" s="37">
        <f>BDbDT_calcs!Q64</f>
        <v>315.88503199103934</v>
      </c>
      <c r="R8" s="37">
        <f>BDbDT_calcs!R64</f>
        <v>326.68839196298791</v>
      </c>
      <c r="S8" s="37">
        <f>BDbDT_calcs!S64</f>
        <v>337.412376340045</v>
      </c>
      <c r="T8" s="37">
        <f>BDbDT_calcs!T64</f>
        <v>348.37380381828865</v>
      </c>
      <c r="U8" s="37">
        <f>BDbDT_calcs!U64</f>
        <v>359.55108446632943</v>
      </c>
      <c r="V8" s="37">
        <f>BDbDT_calcs!V64</f>
        <v>370.89768959981569</v>
      </c>
      <c r="W8" s="37">
        <f>BDbDT_calcs!W64</f>
        <v>382.36335648615835</v>
      </c>
      <c r="X8" s="37">
        <f>BDbDT_calcs!X64</f>
        <v>393.99501961005859</v>
      </c>
      <c r="Y8" s="37">
        <f>BDbDT_calcs!Y64</f>
        <v>405.71404178248935</v>
      </c>
      <c r="Z8" s="37">
        <f>BDbDT_calcs!Z64</f>
        <v>417.51494004289839</v>
      </c>
      <c r="AA8" s="37">
        <f>BDbDT_calcs!AA64</f>
        <v>429.30356732633282</v>
      </c>
      <c r="AB8" s="37">
        <f>BDbDT_calcs!AB64</f>
        <v>441.0670557986985</v>
      </c>
    </row>
    <row r="9" spans="1:28" x14ac:dyDescent="0.25">
      <c r="A9" s="4" t="s">
        <v>222</v>
      </c>
      <c r="B9" s="37">
        <f>BDbDT_calcs!B65</f>
        <v>8563.1045474630664</v>
      </c>
      <c r="C9" s="37">
        <f>BDbDT_calcs!C65</f>
        <v>8728.3710255189271</v>
      </c>
      <c r="D9" s="37">
        <f>BDbDT_calcs!D65</f>
        <v>8835.6979129830906</v>
      </c>
      <c r="E9" s="37">
        <f>BDbDT_calcs!E65</f>
        <v>8944.6545156150387</v>
      </c>
      <c r="F9" s="37">
        <f>BDbDT_calcs!F65</f>
        <v>9057.0051150369</v>
      </c>
      <c r="G9" s="37">
        <f>BDbDT_calcs!G65</f>
        <v>9173.0343329350089</v>
      </c>
      <c r="H9" s="37">
        <f>BDbDT_calcs!H65</f>
        <v>9292.5140656551339</v>
      </c>
      <c r="I9" s="37">
        <f>BDbDT_calcs!I65</f>
        <v>9440.625137146937</v>
      </c>
      <c r="J9" s="37">
        <f>BDbDT_calcs!J65</f>
        <v>9591.2657314232438</v>
      </c>
      <c r="K9" s="37">
        <f>BDbDT_calcs!K65</f>
        <v>9742.7955545975874</v>
      </c>
      <c r="L9" s="37">
        <f>BDbDT_calcs!L65</f>
        <v>9894.4526979640395</v>
      </c>
      <c r="M9" s="37">
        <f>BDbDT_calcs!M65</f>
        <v>10046.093583438773</v>
      </c>
      <c r="N9" s="37">
        <f>BDbDT_calcs!N65</f>
        <v>10195.658176753779</v>
      </c>
      <c r="O9" s="37">
        <f>BDbDT_calcs!O65</f>
        <v>10342.000734298683</v>
      </c>
      <c r="P9" s="37">
        <f>BDbDT_calcs!P65</f>
        <v>10484.143473028342</v>
      </c>
      <c r="Q9" s="37">
        <f>BDbDT_calcs!Q65</f>
        <v>10620.285543124755</v>
      </c>
      <c r="R9" s="37">
        <f>BDbDT_calcs!R65</f>
        <v>10749.278332253132</v>
      </c>
      <c r="S9" s="37">
        <f>BDbDT_calcs!S65</f>
        <v>10859.06888510438</v>
      </c>
      <c r="T9" s="37">
        <f>BDbDT_calcs!T65</f>
        <v>10959.698882606039</v>
      </c>
      <c r="U9" s="37">
        <f>BDbDT_calcs!U65</f>
        <v>11050.966354980623</v>
      </c>
      <c r="V9" s="37">
        <f>BDbDT_calcs!V65</f>
        <v>11130.055456715121</v>
      </c>
      <c r="W9" s="37">
        <f>BDbDT_calcs!W65</f>
        <v>11196.183441095296</v>
      </c>
      <c r="X9" s="37">
        <f>BDbDT_calcs!X65</f>
        <v>11249.021040937099</v>
      </c>
      <c r="Y9" s="37">
        <f>BDbDT_calcs!Y65</f>
        <v>11294.469211863945</v>
      </c>
      <c r="Z9" s="37">
        <f>BDbDT_calcs!Z65</f>
        <v>11327.282483984976</v>
      </c>
      <c r="AA9" s="37">
        <f>BDbDT_calcs!AA65</f>
        <v>11347.124312953227</v>
      </c>
      <c r="AB9" s="37">
        <f>BDbDT_calcs!AB65</f>
        <v>11354.623203698788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2026-08-17T20:29:35Z</dcterms:modified>
</cp:coreProperties>
</file>