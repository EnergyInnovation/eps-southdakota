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SD\add-outputs\NoH\"/>
    </mc:Choice>
  </mc:AlternateContent>
  <xr:revisionPtr revIDLastSave="0" documentId="8_{510195BF-66A0-47B1-9417-872BC4CAF123}"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F2" i="3"/>
  <c r="AB2" i="3"/>
  <c r="S2" i="3"/>
  <c r="V2" i="3"/>
  <c r="D2" i="3"/>
  <c r="Z2" i="3"/>
  <c r="X2" i="3"/>
  <c r="E2" i="3"/>
  <c r="AA2" i="3"/>
  <c r="G2" i="3"/>
  <c r="AC2" i="3"/>
  <c r="AD2" i="3"/>
  <c r="H2" i="3"/>
  <c r="I2" i="3"/>
  <c r="AE2" i="3"/>
  <c r="B2" i="3"/>
  <c r="J2" i="3"/>
  <c r="K2" i="3"/>
  <c r="T2" i="3"/>
  <c r="L2" i="3"/>
  <c r="M2" i="3"/>
  <c r="N2" i="3"/>
  <c r="O2" i="3"/>
  <c r="P2" i="3"/>
  <c r="R2" i="3"/>
  <c r="Q2" i="3"/>
  <c r="U2" i="3"/>
  <c r="W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<sst xmlns="http://schemas.openxmlformats.org/spreadsheetml/2006/main" count="1069" uniqueCount="448">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</sst>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406</v>
      </c>
      <c r="C1" s="68">
        <v>46185</v>
      </c>
      <c r="H1" t="s">
        <v>324</v>
      </c>
      <c r="I1" t="s">
        <v>325</v>
      </c>
    </row>
    <row r="2" spans="1:9" x14ac:dyDescent="0.25">
      <c r="B2" t="str">
        <f>VLOOKUP(B1,H2:I52,2)</f>
        <v>SD</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348941.04866544425</v>
      </c>
      <c r="C2">
        <f>SUMIFS('state calcs'!C62:C112,'state calcs'!$A$62:$A$112,About!$B$2)</f>
        <v>354753.86416448734</v>
      </c>
      <c r="D2">
        <f>SUMIFS('state calcs'!D62:D112,'state calcs'!$A$62:$A$112,About!$B$2)</f>
        <v>358474.47868605697</v>
      </c>
      <c r="E2">
        <f>SUMIFS('state calcs'!E62:E112,'state calcs'!$A$62:$A$112,About!$B$2)</f>
        <v>362203.93412164954</v>
      </c>
      <c r="F2">
        <f>SUMIFS('state calcs'!F62:F112,'state calcs'!$A$62:$A$112,About!$B$2)</f>
        <v>366011.94350156537</v>
      </c>
      <c r="G2">
        <f>SUMIFS('state calcs'!G62:G112,'state calcs'!$A$62:$A$112,About!$B$2)</f>
        <v>369813.3552257694</v>
      </c>
      <c r="H2">
        <f>SUMIFS('state calcs'!H62:H112,'state calcs'!$A$62:$A$112,About!$B$2)</f>
        <v>373634.55342002562</v>
      </c>
      <c r="I2">
        <f>SUMIFS('state calcs'!I62:I112,'state calcs'!$A$62:$A$112,About!$B$2)</f>
        <v>377482.43423759629</v>
      </c>
      <c r="J2">
        <f>SUMIFS('state calcs'!J62:J112,'state calcs'!$A$62:$A$112,About!$B$2)</f>
        <v>381306.66560512397</v>
      </c>
      <c r="K2">
        <f>SUMIFS('state calcs'!K62:K112,'state calcs'!$A$62:$A$112,About!$B$2)</f>
        <v>385045.89399407635</v>
      </c>
      <c r="L2">
        <f>SUMIFS('state calcs'!L62:L112,'state calcs'!$A$62:$A$112,About!$B$2)</f>
        <v>388816.02784740413</v>
      </c>
      <c r="M2">
        <f>SUMIFS('state calcs'!M62:M112,'state calcs'!$A$62:$A$112,About!$B$2)</f>
        <v>392566.43742019025</v>
      </c>
      <c r="N2">
        <f>SUMIFS('state calcs'!N62:N112,'state calcs'!$A$62:$A$112,About!$B$2)</f>
        <v>396250.05582715449</v>
      </c>
      <c r="O2">
        <f>SUMIFS('state calcs'!O62:O112,'state calcs'!$A$62:$A$112,About!$B$2)</f>
        <v>399837.5496071683</v>
      </c>
      <c r="P2">
        <f>SUMIFS('state calcs'!P62:P112,'state calcs'!$A$62:$A$112,About!$B$2)</f>
        <v>403386.30005424493</v>
      </c>
      <c r="Q2">
        <f>SUMIFS('state calcs'!Q62:Q112,'state calcs'!$A$62:$A$112,About!$B$2)</f>
        <v>406943.05093646032</v>
      </c>
      <c r="R2">
        <f>SUMIFS('state calcs'!R62:R112,'state calcs'!$A$62:$A$112,About!$B$2)</f>
        <v>410483.59075922036</v>
      </c>
      <c r="S2">
        <f>SUMIFS('state calcs'!S62:S112,'state calcs'!$A$62:$A$112,About!$B$2)</f>
        <v>414014.65241000889</v>
      </c>
      <c r="T2">
        <f>SUMIFS('state calcs'!T62:T112,'state calcs'!$A$62:$A$112,About!$B$2)</f>
        <v>417526.69396042236</v>
      </c>
      <c r="U2">
        <f>SUMIFS('state calcs'!U62:U112,'state calcs'!$A$62:$A$112,About!$B$2)</f>
        <v>421076.55446427781</v>
      </c>
      <c r="V2">
        <f>SUMIFS('state calcs'!V62:V112,'state calcs'!$A$62:$A$112,About!$B$2)</f>
        <v>424568.83140724176</v>
      </c>
      <c r="W2">
        <f>SUMIFS('state calcs'!W62:W112,'state calcs'!$A$62:$A$112,About!$B$2)</f>
        <v>428018.2967422707</v>
      </c>
      <c r="X2">
        <f>SUMIFS('state calcs'!X62:X112,'state calcs'!$A$62:$A$112,About!$B$2)</f>
        <v>431447.89986772154</v>
      </c>
      <c r="Y2">
        <f>SUMIFS('state calcs'!Y62:Y112,'state calcs'!$A$62:$A$112,About!$B$2)</f>
        <v>434859.77734069771</v>
      </c>
      <c r="Z2">
        <f>SUMIFS('state calcs'!Z62:Z112,'state calcs'!$A$62:$A$112,About!$B$2)</f>
        <v>438256.96517276566</v>
      </c>
      <c r="AA2">
        <f>SUMIFS('state calcs'!AA62:AA112,'state calcs'!$A$62:$A$112,About!$B$2)</f>
        <v>441628.37344787997</v>
      </c>
      <c r="AB2">
        <f>SUMIFS('state calcs'!AB62:AB112,'state calcs'!$A$62:$A$112,About!$B$2)</f>
        <v>444992.55904926819</v>
      </c>
      <c r="AC2">
        <f>SUMIFS('state calcs'!AC62:AC112,'state calcs'!$A$62:$A$112,About!$B$2)</f>
        <v>448328.59786969319</v>
      </c>
      <c r="AD2">
        <f>SUMIFS('state calcs'!AD62:AD112,'state calcs'!$A$62:$A$112,About!$B$2)</f>
        <v>451633.29810450185</v>
      </c>
      <c r="AE2">
        <f>SUMIFS('state calcs'!AE62:AE112,'state calcs'!$A$62:$A$112,About!$B$2)</f>
        <v>454915.44431600563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2026-06-12T19:29:58Z</dcterms:modified>
</cp:coreProperties>
</file>