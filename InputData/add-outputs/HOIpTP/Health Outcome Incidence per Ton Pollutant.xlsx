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D\add-outputs\HOIpTP\"/>
    </mc:Choice>
  </mc:AlternateContent>
  <xr:revisionPtr revIDLastSave="0" documentId="8_{6982DB79-A2D7-4F37-BD32-58E09794FA2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Q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M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R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H3" i="18"/>
  <c r="B3" i="18"/>
  <c r="Z3" i="18" s="1"/>
  <c r="U2" i="18"/>
  <c r="P2" i="18"/>
  <c r="O2" i="18"/>
  <c r="K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Y17" i="17"/>
  <c r="X17" i="17"/>
  <c r="R17" i="17"/>
  <c r="Q17" i="17"/>
  <c r="E17" i="17"/>
  <c r="B17" i="17"/>
  <c r="AB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O7" i="17"/>
  <c r="H7" i="17"/>
  <c r="B7" i="17"/>
  <c r="Y7" i="17" s="1"/>
  <c r="M6" i="17"/>
  <c r="E6" i="17"/>
  <c r="C6" i="17"/>
  <c r="B6" i="17"/>
  <c r="Q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L2" i="17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U17" i="16"/>
  <c r="H17" i="16"/>
  <c r="B17" i="16"/>
  <c r="AB17" i="16" s="1"/>
  <c r="B16" i="16"/>
  <c r="AA15" i="16"/>
  <c r="X15" i="16"/>
  <c r="K15" i="16"/>
  <c r="B15" i="16"/>
  <c r="Y15" i="16" s="1"/>
  <c r="G14" i="16"/>
  <c r="F14" i="16"/>
  <c r="C14" i="16"/>
  <c r="B14" i="16"/>
  <c r="AB14" i="16" s="1"/>
  <c r="W13" i="16"/>
  <c r="J13" i="16"/>
  <c r="D13" i="16"/>
  <c r="B13" i="16"/>
  <c r="X13" i="16" s="1"/>
  <c r="Y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T7" i="16"/>
  <c r="S7" i="16"/>
  <c r="R7" i="16"/>
  <c r="O7" i="16"/>
  <c r="M7" i="16"/>
  <c r="B7" i="16"/>
  <c r="W6" i="16"/>
  <c r="T6" i="16"/>
  <c r="N6" i="16"/>
  <c r="M6" i="16"/>
  <c r="L6" i="16"/>
  <c r="J6" i="16"/>
  <c r="I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R3" i="16"/>
  <c r="O3" i="16"/>
  <c r="C3" i="16"/>
  <c r="B3" i="16"/>
  <c r="Z3" i="16" s="1"/>
  <c r="T2" i="16"/>
  <c r="Q2" i="16"/>
  <c r="B2" i="16"/>
  <c r="AA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S15" i="15"/>
  <c r="K15" i="15"/>
  <c r="I15" i="15"/>
  <c r="G15" i="15"/>
  <c r="E15" i="15"/>
  <c r="B15" i="15"/>
  <c r="C15" i="15" s="1"/>
  <c r="B14" i="15"/>
  <c r="AB14" i="15" s="1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C8" i="15"/>
  <c r="B8" i="15"/>
  <c r="AB7" i="15"/>
  <c r="S7" i="15"/>
  <c r="R7" i="15"/>
  <c r="B7" i="15"/>
  <c r="J7" i="15" s="1"/>
  <c r="AB6" i="15"/>
  <c r="V6" i="15"/>
  <c r="U6" i="15"/>
  <c r="T6" i="15"/>
  <c r="Q6" i="15"/>
  <c r="P6" i="15"/>
  <c r="O6" i="15"/>
  <c r="N6" i="15"/>
  <c r="M6" i="15"/>
  <c r="K6" i="15"/>
  <c r="J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AB2" i="15"/>
  <c r="Z2" i="15"/>
  <c r="G2" i="15"/>
  <c r="F2" i="15"/>
  <c r="E2" i="15"/>
  <c r="D2" i="15"/>
  <c r="C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W15" i="14"/>
  <c r="V15" i="14"/>
  <c r="U15" i="14"/>
  <c r="T15" i="14"/>
  <c r="S15" i="14"/>
  <c r="Q15" i="14"/>
  <c r="P15" i="14"/>
  <c r="O15" i="14"/>
  <c r="N15" i="14"/>
  <c r="M15" i="14"/>
  <c r="L15" i="14"/>
  <c r="K15" i="14"/>
  <c r="J15" i="14"/>
  <c r="F15" i="14"/>
  <c r="E15" i="14"/>
  <c r="D15" i="14"/>
  <c r="B15" i="14"/>
  <c r="X15" i="14" s="1"/>
  <c r="AB14" i="14"/>
  <c r="S14" i="14"/>
  <c r="R14" i="14"/>
  <c r="B14" i="14"/>
  <c r="Y14" i="14" s="1"/>
  <c r="X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C7" i="14"/>
  <c r="B7" i="14"/>
  <c r="AA6" i="14"/>
  <c r="Z6" i="14"/>
  <c r="X6" i="14"/>
  <c r="T6" i="14"/>
  <c r="S6" i="14"/>
  <c r="R6" i="14"/>
  <c r="Q6" i="14"/>
  <c r="P6" i="14"/>
  <c r="O6" i="14"/>
  <c r="G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B3" i="14"/>
  <c r="AB2" i="14"/>
  <c r="X2" i="14"/>
  <c r="V2" i="14"/>
  <c r="U2" i="14"/>
  <c r="P2" i="14"/>
  <c r="O2" i="14"/>
  <c r="M2" i="14"/>
  <c r="L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U16" i="13"/>
  <c r="T16" i="13"/>
  <c r="H16" i="13"/>
  <c r="G16" i="13"/>
  <c r="B16" i="13"/>
  <c r="AA16" i="13" s="1"/>
  <c r="N15" i="13"/>
  <c r="L15" i="13"/>
  <c r="K15" i="13"/>
  <c r="E15" i="13"/>
  <c r="D15" i="13"/>
  <c r="B15" i="13"/>
  <c r="O15" i="13" s="1"/>
  <c r="B14" i="13"/>
  <c r="H14" i="13" s="1"/>
  <c r="Z13" i="13"/>
  <c r="Y13" i="13"/>
  <c r="X13" i="13"/>
  <c r="V13" i="13"/>
  <c r="U13" i="13"/>
  <c r="T13" i="13"/>
  <c r="S13" i="13"/>
  <c r="O13" i="13"/>
  <c r="G13" i="13"/>
  <c r="B13" i="13"/>
  <c r="T12" i="13"/>
  <c r="S12" i="13"/>
  <c r="R12" i="13"/>
  <c r="O12" i="13"/>
  <c r="M12" i="13"/>
  <c r="L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Z7" i="13"/>
  <c r="W7" i="13"/>
  <c r="S7" i="13"/>
  <c r="B7" i="13"/>
  <c r="AB7" i="13" s="1"/>
  <c r="O6" i="13"/>
  <c r="M6" i="13"/>
  <c r="K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N3" i="13"/>
  <c r="M3" i="13"/>
  <c r="L3" i="13"/>
  <c r="J3" i="13"/>
  <c r="I3" i="13"/>
  <c r="F3" i="13"/>
  <c r="E3" i="13"/>
  <c r="D3" i="13"/>
  <c r="C3" i="13"/>
  <c r="B3" i="13"/>
  <c r="AA3" i="13" s="1"/>
  <c r="Z2" i="13"/>
  <c r="C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B15" i="12"/>
  <c r="AB14" i="12"/>
  <c r="Y14" i="12"/>
  <c r="W14" i="12"/>
  <c r="B14" i="12"/>
  <c r="X14" i="12" s="1"/>
  <c r="B13" i="12"/>
  <c r="C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S8" i="12"/>
  <c r="R8" i="12"/>
  <c r="Q8" i="12"/>
  <c r="M8" i="12"/>
  <c r="J8" i="12"/>
  <c r="I8" i="12"/>
  <c r="H8" i="12"/>
  <c r="G8" i="12"/>
  <c r="B8" i="12"/>
  <c r="K7" i="12"/>
  <c r="J7" i="12"/>
  <c r="I7" i="12"/>
  <c r="F7" i="12"/>
  <c r="E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R15" i="11"/>
  <c r="B15" i="11"/>
  <c r="W15" i="11" s="1"/>
  <c r="AB14" i="11"/>
  <c r="AA14" i="11"/>
  <c r="U14" i="11"/>
  <c r="T14" i="11"/>
  <c r="Q14" i="11"/>
  <c r="B14" i="11"/>
  <c r="H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B13" i="11"/>
  <c r="J13" i="11" s="1"/>
  <c r="K12" i="11"/>
  <c r="J12" i="11"/>
  <c r="I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R8" i="11"/>
  <c r="B8" i="11"/>
  <c r="J8" i="11" s="1"/>
  <c r="AB7" i="11"/>
  <c r="AA7" i="11"/>
  <c r="Z7" i="11"/>
  <c r="X7" i="11"/>
  <c r="W7" i="11"/>
  <c r="V7" i="11"/>
  <c r="U7" i="11"/>
  <c r="T7" i="11"/>
  <c r="P7" i="11"/>
  <c r="O7" i="11"/>
  <c r="N7" i="11"/>
  <c r="L7" i="11"/>
  <c r="B7" i="11"/>
  <c r="H7" i="11" s="1"/>
  <c r="X6" i="11"/>
  <c r="U6" i="11"/>
  <c r="T6" i="11"/>
  <c r="R6" i="11"/>
  <c r="Q6" i="11"/>
  <c r="L6" i="11"/>
  <c r="K6" i="11"/>
  <c r="J6" i="11"/>
  <c r="H6" i="11"/>
  <c r="G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K3" i="11"/>
  <c r="J3" i="11"/>
  <c r="C3" i="11"/>
  <c r="B3" i="11"/>
  <c r="Q2" i="11"/>
  <c r="N2" i="11"/>
  <c r="I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W15" i="10"/>
  <c r="V15" i="10"/>
  <c r="U15" i="10"/>
  <c r="T15" i="10"/>
  <c r="R15" i="10"/>
  <c r="Q15" i="10"/>
  <c r="P15" i="10"/>
  <c r="O15" i="10"/>
  <c r="B15" i="10"/>
  <c r="G15" i="10" s="1"/>
  <c r="AB14" i="10"/>
  <c r="Z14" i="10"/>
  <c r="Y14" i="10"/>
  <c r="W14" i="10"/>
  <c r="V14" i="10"/>
  <c r="U14" i="10"/>
  <c r="T14" i="10"/>
  <c r="S14" i="10"/>
  <c r="R14" i="10"/>
  <c r="Q14" i="10"/>
  <c r="P14" i="10"/>
  <c r="O14" i="10"/>
  <c r="B14" i="10"/>
  <c r="Z13" i="10"/>
  <c r="M13" i="10"/>
  <c r="B13" i="10"/>
  <c r="AA12" i="10"/>
  <c r="Z12" i="10"/>
  <c r="G12" i="10"/>
  <c r="B12" i="10"/>
  <c r="AB12" i="10" s="1"/>
  <c r="C11" i="10"/>
  <c r="B11" i="10"/>
  <c r="B10" i="10"/>
  <c r="B9" i="10"/>
  <c r="B8" i="10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O17" i="9"/>
  <c r="M17" i="9"/>
  <c r="K17" i="9"/>
  <c r="J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B14" i="9"/>
  <c r="N14" i="9"/>
  <c r="M14" i="9"/>
  <c r="L14" i="9"/>
  <c r="K14" i="9"/>
  <c r="E14" i="9"/>
  <c r="C14" i="9"/>
  <c r="B14" i="9"/>
  <c r="AA13" i="9"/>
  <c r="B13" i="9"/>
  <c r="Z13" i="9" s="1"/>
  <c r="AA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S8" i="9"/>
  <c r="Q8" i="9"/>
  <c r="P8" i="9"/>
  <c r="O8" i="9"/>
  <c r="N8" i="9"/>
  <c r="M8" i="9"/>
  <c r="L8" i="9"/>
  <c r="K8" i="9"/>
  <c r="I8" i="9"/>
  <c r="G8" i="9"/>
  <c r="F8" i="9"/>
  <c r="B8" i="9"/>
  <c r="N7" i="9"/>
  <c r="M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AB14" i="8"/>
  <c r="AA14" i="8"/>
  <c r="T14" i="8"/>
  <c r="S14" i="8"/>
  <c r="D14" i="8"/>
  <c r="C14" i="8"/>
  <c r="B14" i="8"/>
  <c r="W13" i="8"/>
  <c r="R13" i="8"/>
  <c r="C13" i="8"/>
  <c r="B13" i="8"/>
  <c r="AB12" i="8"/>
  <c r="AA12" i="8"/>
  <c r="Z12" i="8"/>
  <c r="Y12" i="8"/>
  <c r="V12" i="8"/>
  <c r="U12" i="8"/>
  <c r="T12" i="8"/>
  <c r="R12" i="8"/>
  <c r="Q12" i="8"/>
  <c r="O12" i="8"/>
  <c r="B12" i="8"/>
  <c r="D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Z7" i="8"/>
  <c r="Y7" i="8"/>
  <c r="W7" i="8"/>
  <c r="T7" i="8"/>
  <c r="S7" i="8"/>
  <c r="Q7" i="8"/>
  <c r="P7" i="8"/>
  <c r="O7" i="8"/>
  <c r="J7" i="8"/>
  <c r="B7" i="8"/>
  <c r="U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H3" i="8"/>
  <c r="D3" i="8"/>
  <c r="C3" i="8"/>
  <c r="B3" i="8"/>
  <c r="Z2" i="8"/>
  <c r="W2" i="8"/>
  <c r="V2" i="8"/>
  <c r="U2" i="8"/>
  <c r="T2" i="8"/>
  <c r="S2" i="8"/>
  <c r="R2" i="8"/>
  <c r="B2" i="8"/>
  <c r="G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B17" i="7"/>
  <c r="Q17" i="7" s="1"/>
  <c r="N16" i="7"/>
  <c r="M16" i="7"/>
  <c r="L16" i="7"/>
  <c r="J16" i="7"/>
  <c r="H16" i="7"/>
  <c r="G16" i="7"/>
  <c r="B16" i="7"/>
  <c r="AA16" i="7" s="1"/>
  <c r="B15" i="7"/>
  <c r="AA15" i="7" s="1"/>
  <c r="AB14" i="7"/>
  <c r="AA14" i="7"/>
  <c r="I14" i="7"/>
  <c r="B14" i="7"/>
  <c r="F14" i="7" s="1"/>
  <c r="AB13" i="7"/>
  <c r="AA13" i="7"/>
  <c r="X13" i="7"/>
  <c r="W13" i="7"/>
  <c r="V13" i="7"/>
  <c r="T13" i="7"/>
  <c r="B13" i="7"/>
  <c r="H13" i="7" s="1"/>
  <c r="AB12" i="7"/>
  <c r="Y12" i="7"/>
  <c r="X12" i="7"/>
  <c r="W12" i="7"/>
  <c r="V12" i="7"/>
  <c r="T12" i="7"/>
  <c r="S12" i="7"/>
  <c r="R12" i="7"/>
  <c r="P12" i="7"/>
  <c r="N12" i="7"/>
  <c r="M12" i="7"/>
  <c r="L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Z8" i="7"/>
  <c r="Y8" i="7"/>
  <c r="W8" i="7"/>
  <c r="U8" i="7"/>
  <c r="T8" i="7"/>
  <c r="R8" i="7"/>
  <c r="Q8" i="7"/>
  <c r="P8" i="7"/>
  <c r="N8" i="7"/>
  <c r="M8" i="7"/>
  <c r="L8" i="7"/>
  <c r="K8" i="7"/>
  <c r="I8" i="7"/>
  <c r="H8" i="7"/>
  <c r="G8" i="7"/>
  <c r="F8" i="7"/>
  <c r="D8" i="7"/>
  <c r="B8" i="7"/>
  <c r="AA8" i="7" s="1"/>
  <c r="AB7" i="7"/>
  <c r="Z7" i="7"/>
  <c r="Y7" i="7"/>
  <c r="W7" i="7"/>
  <c r="U7" i="7"/>
  <c r="S7" i="7"/>
  <c r="R7" i="7"/>
  <c r="Q7" i="7"/>
  <c r="P7" i="7"/>
  <c r="O7" i="7"/>
  <c r="N7" i="7"/>
  <c r="L7" i="7"/>
  <c r="K7" i="7"/>
  <c r="J7" i="7"/>
  <c r="I7" i="7"/>
  <c r="F7" i="7"/>
  <c r="E7" i="7"/>
  <c r="D7" i="7"/>
  <c r="B7" i="7"/>
  <c r="AA7" i="7" s="1"/>
  <c r="AB6" i="7"/>
  <c r="Z6" i="7"/>
  <c r="X6" i="7"/>
  <c r="W6" i="7"/>
  <c r="V6" i="7"/>
  <c r="U6" i="7"/>
  <c r="S6" i="7"/>
  <c r="R6" i="7"/>
  <c r="Q6" i="7"/>
  <c r="P6" i="7"/>
  <c r="O6" i="7"/>
  <c r="K6" i="7"/>
  <c r="I6" i="7"/>
  <c r="H6" i="7"/>
  <c r="F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U3" i="7"/>
  <c r="T3" i="7"/>
  <c r="S3" i="7"/>
  <c r="P3" i="7"/>
  <c r="O3" i="7"/>
  <c r="N3" i="7"/>
  <c r="M3" i="7"/>
  <c r="L3" i="7"/>
  <c r="K3" i="7"/>
  <c r="J3" i="7"/>
  <c r="H3" i="7"/>
  <c r="G3" i="7"/>
  <c r="F3" i="7"/>
  <c r="B3" i="7"/>
  <c r="N2" i="7"/>
  <c r="L2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B17" i="6"/>
  <c r="AB17" i="6" s="1"/>
  <c r="E16" i="6"/>
  <c r="D16" i="6"/>
  <c r="C16" i="6"/>
  <c r="B16" i="6"/>
  <c r="AB15" i="6"/>
  <c r="Y15" i="6"/>
  <c r="W15" i="6"/>
  <c r="U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D15" i="6"/>
  <c r="B15" i="6"/>
  <c r="Z15" i="6" s="1"/>
  <c r="AB14" i="6"/>
  <c r="AA14" i="6"/>
  <c r="W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D14" i="6"/>
  <c r="B14" i="6"/>
  <c r="Y14" i="6" s="1"/>
  <c r="Q13" i="6"/>
  <c r="P13" i="6"/>
  <c r="O13" i="6"/>
  <c r="N13" i="6"/>
  <c r="M13" i="6"/>
  <c r="K13" i="6"/>
  <c r="I13" i="6"/>
  <c r="H13" i="6"/>
  <c r="G13" i="6"/>
  <c r="B13" i="6"/>
  <c r="AB12" i="6"/>
  <c r="Y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B8" i="6"/>
  <c r="AB8" i="6" s="1"/>
  <c r="B7" i="6"/>
  <c r="J7" i="6" s="1"/>
  <c r="L6" i="6"/>
  <c r="K6" i="6"/>
  <c r="J6" i="6"/>
  <c r="I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B3" i="6"/>
  <c r="M3" i="6" s="1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B17" i="5"/>
  <c r="B16" i="5"/>
  <c r="B15" i="5"/>
  <c r="S15" i="5" s="1"/>
  <c r="AB14" i="5"/>
  <c r="AA14" i="5"/>
  <c r="Z14" i="5"/>
  <c r="Y14" i="5"/>
  <c r="W14" i="5"/>
  <c r="V14" i="5"/>
  <c r="B14" i="5"/>
  <c r="D14" i="5" s="1"/>
  <c r="B13" i="5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B7" i="5"/>
  <c r="D7" i="5" s="1"/>
  <c r="W6" i="5"/>
  <c r="R6" i="5"/>
  <c r="M6" i="5"/>
  <c r="K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F2" i="5" s="1"/>
  <c r="B2" i="1"/>
  <c r="T13" i="8" l="1"/>
  <c r="S13" i="8"/>
  <c r="O13" i="8"/>
  <c r="P13" i="8"/>
  <c r="N13" i="8"/>
  <c r="I13" i="8"/>
  <c r="M13" i="8"/>
  <c r="L13" i="8"/>
  <c r="K13" i="8"/>
  <c r="J13" i="8"/>
  <c r="H13" i="8"/>
  <c r="F13" i="8"/>
  <c r="E13" i="8"/>
  <c r="G13" i="8"/>
  <c r="AA13" i="8"/>
  <c r="Y7" i="9"/>
  <c r="W7" i="9"/>
  <c r="V7" i="9"/>
  <c r="R7" i="9"/>
  <c r="AB7" i="9"/>
  <c r="AA7" i="9"/>
  <c r="X7" i="9"/>
  <c r="Q7" i="9"/>
  <c r="U7" i="9"/>
  <c r="S7" i="9"/>
  <c r="T7" i="9"/>
  <c r="J7" i="9"/>
  <c r="G7" i="9"/>
  <c r="P3" i="11"/>
  <c r="M3" i="11"/>
  <c r="I3" i="11"/>
  <c r="S3" i="11"/>
  <c r="Y3" i="11"/>
  <c r="R3" i="11"/>
  <c r="U3" i="11"/>
  <c r="H3" i="11"/>
  <c r="E3" i="11"/>
  <c r="D3" i="11"/>
  <c r="Q13" i="8"/>
  <c r="AA13" i="10"/>
  <c r="H13" i="10"/>
  <c r="F13" i="10"/>
  <c r="D13" i="10"/>
  <c r="S2" i="13"/>
  <c r="P2" i="13"/>
  <c r="O2" i="13"/>
  <c r="N2" i="13"/>
  <c r="I2" i="13"/>
  <c r="X2" i="13"/>
  <c r="U2" i="13"/>
  <c r="R2" i="13"/>
  <c r="Q2" i="13"/>
  <c r="M2" i="13"/>
  <c r="D2" i="13"/>
  <c r="L2" i="13"/>
  <c r="J2" i="13"/>
  <c r="H2" i="13"/>
  <c r="G2" i="13"/>
  <c r="E2" i="13"/>
  <c r="F2" i="13"/>
  <c r="AB2" i="13"/>
  <c r="F17" i="13"/>
  <c r="E17" i="13"/>
  <c r="C17" i="13"/>
  <c r="J3" i="14"/>
  <c r="Z3" i="14"/>
  <c r="Y3" i="14"/>
  <c r="X3" i="14"/>
  <c r="T3" i="14"/>
  <c r="W3" i="14"/>
  <c r="V3" i="14"/>
  <c r="U3" i="14"/>
  <c r="S3" i="14"/>
  <c r="P3" i="14"/>
  <c r="F3" i="14"/>
  <c r="N3" i="14"/>
  <c r="M3" i="14"/>
  <c r="L3" i="14"/>
  <c r="K3" i="14"/>
  <c r="I3" i="14"/>
  <c r="G3" i="14"/>
  <c r="E3" i="14"/>
  <c r="C15" i="5"/>
  <c r="C15" i="7"/>
  <c r="U13" i="8"/>
  <c r="I7" i="9"/>
  <c r="C2" i="10"/>
  <c r="P13" i="10"/>
  <c r="L3" i="11"/>
  <c r="H12" i="12"/>
  <c r="Z12" i="12"/>
  <c r="AB12" i="12"/>
  <c r="AA12" i="12"/>
  <c r="V2" i="13"/>
  <c r="C3" i="14"/>
  <c r="D15" i="5"/>
  <c r="D15" i="7"/>
  <c r="V13" i="8"/>
  <c r="L7" i="9"/>
  <c r="D2" i="10"/>
  <c r="Y13" i="10"/>
  <c r="Q3" i="11"/>
  <c r="Y2" i="13"/>
  <c r="D3" i="14"/>
  <c r="AA15" i="9"/>
  <c r="Y15" i="9"/>
  <c r="M15" i="9"/>
  <c r="AA7" i="19"/>
  <c r="R7" i="19"/>
  <c r="M7" i="19"/>
  <c r="L7" i="19"/>
  <c r="H7" i="19"/>
  <c r="G7" i="19"/>
  <c r="F7" i="19"/>
  <c r="C7" i="19"/>
  <c r="W2" i="10"/>
  <c r="X2" i="10"/>
  <c r="V2" i="10"/>
  <c r="M2" i="10"/>
  <c r="Y2" i="10"/>
  <c r="U2" i="10"/>
  <c r="P2" i="10"/>
  <c r="N2" i="10"/>
  <c r="L2" i="10"/>
  <c r="K2" i="10"/>
  <c r="J2" i="10"/>
  <c r="F2" i="10"/>
  <c r="E2" i="10"/>
  <c r="H2" i="10"/>
  <c r="G2" i="10"/>
  <c r="AB3" i="14"/>
  <c r="G15" i="5"/>
  <c r="U7" i="19"/>
  <c r="C2" i="5"/>
  <c r="D17" i="6"/>
  <c r="G15" i="7"/>
  <c r="AB13" i="8"/>
  <c r="P7" i="9"/>
  <c r="K15" i="9"/>
  <c r="D2" i="5"/>
  <c r="H15" i="5"/>
  <c r="E17" i="6"/>
  <c r="H15" i="7"/>
  <c r="X14" i="8"/>
  <c r="Q14" i="8"/>
  <c r="P14" i="8"/>
  <c r="L14" i="8"/>
  <c r="R14" i="8"/>
  <c r="O14" i="8"/>
  <c r="N14" i="8"/>
  <c r="M14" i="8"/>
  <c r="K14" i="8"/>
  <c r="J14" i="8"/>
  <c r="I14" i="8"/>
  <c r="E14" i="8"/>
  <c r="H14" i="8"/>
  <c r="F14" i="8"/>
  <c r="G14" i="8"/>
  <c r="Z14" i="8"/>
  <c r="Z15" i="9"/>
  <c r="Z17" i="9"/>
  <c r="AA17" i="9"/>
  <c r="X17" i="9"/>
  <c r="W17" i="9"/>
  <c r="U17" i="9"/>
  <c r="T17" i="9"/>
  <c r="Q17" i="9"/>
  <c r="P17" i="9"/>
  <c r="S17" i="9"/>
  <c r="R17" i="9"/>
  <c r="G17" i="9"/>
  <c r="F17" i="9"/>
  <c r="E17" i="9"/>
  <c r="J3" i="10"/>
  <c r="F6" i="12"/>
  <c r="Z7" i="14"/>
  <c r="X7" i="14"/>
  <c r="L7" i="14"/>
  <c r="K7" i="14"/>
  <c r="J7" i="14"/>
  <c r="E7" i="14"/>
  <c r="Y7" i="14"/>
  <c r="W7" i="14"/>
  <c r="V7" i="14"/>
  <c r="S7" i="14"/>
  <c r="D7" i="14"/>
  <c r="R7" i="14"/>
  <c r="G7" i="14"/>
  <c r="P7" i="14"/>
  <c r="O7" i="14"/>
  <c r="N7" i="14"/>
  <c r="M7" i="14"/>
  <c r="I7" i="14"/>
  <c r="H7" i="14"/>
  <c r="X15" i="12"/>
  <c r="E15" i="12"/>
  <c r="AB15" i="12"/>
  <c r="D15" i="12"/>
  <c r="AA15" i="12"/>
  <c r="C15" i="12"/>
  <c r="V15" i="12"/>
  <c r="Z15" i="12"/>
  <c r="Y15" i="12"/>
  <c r="W15" i="12"/>
  <c r="N15" i="12"/>
  <c r="T15" i="12"/>
  <c r="M15" i="12"/>
  <c r="S15" i="12"/>
  <c r="R15" i="12"/>
  <c r="Q15" i="12"/>
  <c r="P15" i="12"/>
  <c r="O15" i="12"/>
  <c r="I15" i="12"/>
  <c r="H15" i="12"/>
  <c r="G15" i="12"/>
  <c r="F15" i="12"/>
  <c r="F14" i="13"/>
  <c r="E15" i="7"/>
  <c r="C2" i="6"/>
  <c r="AB2" i="6"/>
  <c r="Z2" i="6"/>
  <c r="AA2" i="6"/>
  <c r="I15" i="7"/>
  <c r="Y12" i="9"/>
  <c r="X12" i="9"/>
  <c r="O12" i="9"/>
  <c r="AB12" i="9"/>
  <c r="S12" i="9"/>
  <c r="J12" i="9"/>
  <c r="H12" i="9"/>
  <c r="Y15" i="7"/>
  <c r="C12" i="9"/>
  <c r="J15" i="12"/>
  <c r="K15" i="12"/>
  <c r="Z2" i="10"/>
  <c r="X13" i="8"/>
  <c r="E2" i="5"/>
  <c r="U14" i="13"/>
  <c r="E14" i="13"/>
  <c r="T14" i="13"/>
  <c r="S14" i="13"/>
  <c r="R14" i="13"/>
  <c r="N14" i="13"/>
  <c r="AA14" i="13"/>
  <c r="Y14" i="13"/>
  <c r="W14" i="13"/>
  <c r="K14" i="13"/>
  <c r="V14" i="13"/>
  <c r="Q14" i="13"/>
  <c r="P14" i="13"/>
  <c r="O14" i="13"/>
  <c r="M14" i="13"/>
  <c r="L14" i="13"/>
  <c r="J14" i="13"/>
  <c r="AB13" i="5"/>
  <c r="Z13" i="5"/>
  <c r="Y13" i="5"/>
  <c r="X13" i="5"/>
  <c r="R13" i="5"/>
  <c r="M13" i="5"/>
  <c r="J13" i="5"/>
  <c r="K13" i="5"/>
  <c r="U14" i="8"/>
  <c r="E12" i="9"/>
  <c r="L15" i="12"/>
  <c r="F17" i="6"/>
  <c r="L17" i="6"/>
  <c r="AB15" i="7"/>
  <c r="V14" i="8"/>
  <c r="U12" i="9"/>
  <c r="Q8" i="10"/>
  <c r="N8" i="10"/>
  <c r="AB8" i="10"/>
  <c r="Z8" i="10"/>
  <c r="G8" i="10"/>
  <c r="C8" i="10"/>
  <c r="K8" i="10"/>
  <c r="I8" i="10"/>
  <c r="X15" i="5"/>
  <c r="R15" i="5"/>
  <c r="Q15" i="5"/>
  <c r="P15" i="5"/>
  <c r="L15" i="5"/>
  <c r="K15" i="5"/>
  <c r="O15" i="5"/>
  <c r="N15" i="5"/>
  <c r="M15" i="5"/>
  <c r="I15" i="5"/>
  <c r="J15" i="5"/>
  <c r="J15" i="7"/>
  <c r="U15" i="5"/>
  <c r="Z15" i="7"/>
  <c r="H13" i="5"/>
  <c r="Z15" i="5"/>
  <c r="X12" i="6"/>
  <c r="O12" i="6"/>
  <c r="W12" i="6"/>
  <c r="V12" i="6"/>
  <c r="U12" i="6"/>
  <c r="N12" i="6"/>
  <c r="T12" i="6"/>
  <c r="K12" i="6"/>
  <c r="S12" i="6"/>
  <c r="R12" i="6"/>
  <c r="P12" i="6"/>
  <c r="L12" i="6"/>
  <c r="O17" i="6"/>
  <c r="W14" i="8"/>
  <c r="W12" i="9"/>
  <c r="T15" i="5"/>
  <c r="T2" i="6"/>
  <c r="G17" i="6"/>
  <c r="H17" i="6"/>
  <c r="D13" i="5"/>
  <c r="V15" i="5"/>
  <c r="J17" i="6"/>
  <c r="D12" i="9"/>
  <c r="F13" i="5"/>
  <c r="W15" i="5"/>
  <c r="K17" i="6"/>
  <c r="G13" i="5"/>
  <c r="Y15" i="5"/>
  <c r="I13" i="5"/>
  <c r="AA15" i="5"/>
  <c r="AA17" i="6"/>
  <c r="Y14" i="8"/>
  <c r="Z12" i="9"/>
  <c r="E8" i="15"/>
  <c r="X8" i="15"/>
  <c r="W8" i="15"/>
  <c r="T8" i="15"/>
  <c r="M8" i="15"/>
  <c r="L8" i="15"/>
  <c r="AB8" i="15"/>
  <c r="AA8" i="15"/>
  <c r="Z8" i="15"/>
  <c r="Y8" i="15"/>
  <c r="R8" i="15"/>
  <c r="O8" i="15"/>
  <c r="N8" i="15"/>
  <c r="K8" i="15"/>
  <c r="F8" i="15"/>
  <c r="D8" i="15"/>
  <c r="J8" i="15"/>
  <c r="H8" i="15"/>
  <c r="G8" i="15"/>
  <c r="AB6" i="5"/>
  <c r="X6" i="5"/>
  <c r="Z6" i="5"/>
  <c r="P3" i="15"/>
  <c r="G3" i="15"/>
  <c r="Z3" i="15"/>
  <c r="Y3" i="15"/>
  <c r="X3" i="15"/>
  <c r="Q3" i="15"/>
  <c r="N3" i="15"/>
  <c r="AA3" i="15"/>
  <c r="M3" i="15"/>
  <c r="L3" i="15"/>
  <c r="W3" i="15"/>
  <c r="U3" i="15"/>
  <c r="T3" i="15"/>
  <c r="F3" i="15"/>
  <c r="E3" i="15"/>
  <c r="D3" i="15"/>
  <c r="C3" i="15"/>
  <c r="I3" i="15"/>
  <c r="X15" i="7"/>
  <c r="S15" i="7"/>
  <c r="N15" i="7"/>
  <c r="W15" i="7"/>
  <c r="V15" i="7"/>
  <c r="P15" i="7"/>
  <c r="U15" i="7"/>
  <c r="T15" i="7"/>
  <c r="R15" i="7"/>
  <c r="Q15" i="7"/>
  <c r="L15" i="7"/>
  <c r="K15" i="7"/>
  <c r="O15" i="7"/>
  <c r="M15" i="7"/>
  <c r="E15" i="5"/>
  <c r="F15" i="5"/>
  <c r="AB15" i="5"/>
  <c r="I6" i="5"/>
  <c r="AA6" i="6"/>
  <c r="AB6" i="6"/>
  <c r="P6" i="6"/>
  <c r="O6" i="6"/>
  <c r="M6" i="6"/>
  <c r="N6" i="6"/>
  <c r="Z15" i="8"/>
  <c r="O15" i="8"/>
  <c r="N15" i="8"/>
  <c r="J15" i="8"/>
  <c r="AA15" i="8"/>
  <c r="Y15" i="8"/>
  <c r="F15" i="8"/>
  <c r="U15" i="8"/>
  <c r="P15" i="8"/>
  <c r="M15" i="8"/>
  <c r="L15" i="8"/>
  <c r="K15" i="8"/>
  <c r="I15" i="8"/>
  <c r="G15" i="8"/>
  <c r="H15" i="8"/>
  <c r="X12" i="11"/>
  <c r="L12" i="11"/>
  <c r="AB12" i="11"/>
  <c r="Z12" i="11"/>
  <c r="Y12" i="11"/>
  <c r="U12" i="11"/>
  <c r="M12" i="11"/>
  <c r="T12" i="11"/>
  <c r="P12" i="11"/>
  <c r="O12" i="11"/>
  <c r="F12" i="11"/>
  <c r="E12" i="11"/>
  <c r="C12" i="11"/>
  <c r="J3" i="15"/>
  <c r="N17" i="6"/>
  <c r="M17" i="6"/>
  <c r="Z17" i="6"/>
  <c r="X17" i="6"/>
  <c r="W17" i="6"/>
  <c r="V17" i="6"/>
  <c r="U17" i="6"/>
  <c r="T17" i="6"/>
  <c r="S17" i="6"/>
  <c r="P17" i="6"/>
  <c r="R17" i="6"/>
  <c r="Q17" i="6"/>
  <c r="C17" i="6"/>
  <c r="F15" i="7"/>
  <c r="Z14" i="7"/>
  <c r="V14" i="7"/>
  <c r="Q14" i="7"/>
  <c r="Y14" i="7"/>
  <c r="X14" i="7"/>
  <c r="U14" i="7"/>
  <c r="T14" i="7"/>
  <c r="S14" i="7"/>
  <c r="O14" i="7"/>
  <c r="R14" i="7"/>
  <c r="L14" i="7"/>
  <c r="J14" i="7"/>
  <c r="N14" i="7"/>
  <c r="M14" i="7"/>
  <c r="E6" i="5"/>
  <c r="D14" i="7"/>
  <c r="U17" i="5"/>
  <c r="T17" i="5"/>
  <c r="R17" i="5"/>
  <c r="S17" i="5"/>
  <c r="Q17" i="5"/>
  <c r="P17" i="5"/>
  <c r="O17" i="5"/>
  <c r="L17" i="5"/>
  <c r="J17" i="5"/>
  <c r="K17" i="5"/>
  <c r="J6" i="5"/>
  <c r="D17" i="5"/>
  <c r="E6" i="6"/>
  <c r="AB13" i="6"/>
  <c r="T13" i="6"/>
  <c r="Y13" i="6"/>
  <c r="V13" i="6"/>
  <c r="R13" i="6"/>
  <c r="S13" i="6"/>
  <c r="Y2" i="7"/>
  <c r="M2" i="7"/>
  <c r="S2" i="7"/>
  <c r="Z2" i="7"/>
  <c r="O2" i="7"/>
  <c r="P2" i="7"/>
  <c r="R2" i="7"/>
  <c r="Q2" i="7"/>
  <c r="H14" i="7"/>
  <c r="J3" i="8"/>
  <c r="G3" i="8"/>
  <c r="E3" i="8"/>
  <c r="V3" i="8"/>
  <c r="S3" i="8"/>
  <c r="N3" i="8"/>
  <c r="R3" i="8"/>
  <c r="Q3" i="8"/>
  <c r="P3" i="8"/>
  <c r="O3" i="8"/>
  <c r="K3" i="8"/>
  <c r="I3" i="8"/>
  <c r="M3" i="8"/>
  <c r="L3" i="8"/>
  <c r="E15" i="8"/>
  <c r="X14" i="9"/>
  <c r="I14" i="9"/>
  <c r="H14" i="9"/>
  <c r="AA14" i="9"/>
  <c r="D14" i="9"/>
  <c r="Z14" i="9"/>
  <c r="Y14" i="9"/>
  <c r="O14" i="9"/>
  <c r="W14" i="9"/>
  <c r="V14" i="9"/>
  <c r="U14" i="9"/>
  <c r="T14" i="9"/>
  <c r="S14" i="9"/>
  <c r="R14" i="9"/>
  <c r="P14" i="9"/>
  <c r="Q14" i="9"/>
  <c r="J14" i="9"/>
  <c r="G14" i="9"/>
  <c r="F14" i="9"/>
  <c r="G12" i="11"/>
  <c r="K3" i="15"/>
  <c r="V14" i="11"/>
  <c r="AA7" i="13"/>
  <c r="G15" i="13"/>
  <c r="W7" i="15"/>
  <c r="Y2" i="16"/>
  <c r="Z7" i="16"/>
  <c r="AB7" i="16"/>
  <c r="X7" i="16"/>
  <c r="V7" i="16"/>
  <c r="U7" i="16"/>
  <c r="P7" i="16"/>
  <c r="L7" i="16"/>
  <c r="J7" i="16"/>
  <c r="I7" i="16"/>
  <c r="G7" i="16"/>
  <c r="E7" i="16"/>
  <c r="D7" i="16"/>
  <c r="P7" i="17"/>
  <c r="W14" i="11"/>
  <c r="V7" i="12"/>
  <c r="S7" i="12"/>
  <c r="P7" i="12"/>
  <c r="G7" i="12"/>
  <c r="AB6" i="13"/>
  <c r="AA6" i="13"/>
  <c r="Z6" i="13"/>
  <c r="P6" i="13"/>
  <c r="J6" i="13"/>
  <c r="AB12" i="13"/>
  <c r="V12" i="13"/>
  <c r="I12" i="13"/>
  <c r="H12" i="13"/>
  <c r="D12" i="13"/>
  <c r="H15" i="13"/>
  <c r="Y7" i="15"/>
  <c r="C7" i="16"/>
  <c r="U7" i="17"/>
  <c r="X14" i="11"/>
  <c r="D7" i="12"/>
  <c r="G6" i="13"/>
  <c r="J12" i="13"/>
  <c r="I15" i="13"/>
  <c r="Z7" i="15"/>
  <c r="F7" i="16"/>
  <c r="X7" i="17"/>
  <c r="J15" i="13"/>
  <c r="X2" i="15"/>
  <c r="I2" i="15"/>
  <c r="Y2" i="15"/>
  <c r="V2" i="15"/>
  <c r="U2" i="15"/>
  <c r="P2" i="15"/>
  <c r="O2" i="15"/>
  <c r="AA7" i="15"/>
  <c r="H7" i="16"/>
  <c r="Z2" i="17"/>
  <c r="W2" i="17"/>
  <c r="I2" i="17"/>
  <c r="G2" i="17"/>
  <c r="F2" i="17"/>
  <c r="Y7" i="13"/>
  <c r="L7" i="13"/>
  <c r="X7" i="13"/>
  <c r="X14" i="10"/>
  <c r="I14" i="10"/>
  <c r="H14" i="10"/>
  <c r="AA14" i="10"/>
  <c r="D14" i="10"/>
  <c r="L3" i="5"/>
  <c r="V15" i="6"/>
  <c r="V7" i="7"/>
  <c r="V8" i="7"/>
  <c r="F13" i="7"/>
  <c r="E17" i="7"/>
  <c r="F6" i="8"/>
  <c r="C13" i="9"/>
  <c r="C14" i="10"/>
  <c r="C15" i="10"/>
  <c r="C7" i="11"/>
  <c r="C8" i="11"/>
  <c r="E14" i="11"/>
  <c r="X7" i="12"/>
  <c r="D7" i="13"/>
  <c r="U12" i="13"/>
  <c r="T15" i="13"/>
  <c r="H2" i="15"/>
  <c r="D7" i="15"/>
  <c r="Y7" i="16"/>
  <c r="O2" i="8"/>
  <c r="F2" i="8"/>
  <c r="D2" i="8"/>
  <c r="AA2" i="8"/>
  <c r="O12" i="7"/>
  <c r="J12" i="7"/>
  <c r="F17" i="7"/>
  <c r="H2" i="8"/>
  <c r="O6" i="8"/>
  <c r="D13" i="9"/>
  <c r="E14" i="10"/>
  <c r="F15" i="10"/>
  <c r="D7" i="11"/>
  <c r="D8" i="11"/>
  <c r="F14" i="11"/>
  <c r="J3" i="12"/>
  <c r="I3" i="12"/>
  <c r="G3" i="12"/>
  <c r="Y7" i="12"/>
  <c r="E7" i="13"/>
  <c r="W12" i="13"/>
  <c r="V15" i="13"/>
  <c r="J2" i="15"/>
  <c r="E7" i="15"/>
  <c r="E6" i="8"/>
  <c r="F7" i="13"/>
  <c r="X12" i="13"/>
  <c r="W15" i="13"/>
  <c r="AB13" i="14"/>
  <c r="S13" i="14"/>
  <c r="K2" i="15"/>
  <c r="F7" i="15"/>
  <c r="Z13" i="7"/>
  <c r="S13" i="7"/>
  <c r="M13" i="7"/>
  <c r="E13" i="7"/>
  <c r="D17" i="7"/>
  <c r="C2" i="8"/>
  <c r="N3" i="5"/>
  <c r="I17" i="7"/>
  <c r="I2" i="8"/>
  <c r="M13" i="9"/>
  <c r="F14" i="10"/>
  <c r="E7" i="11"/>
  <c r="E8" i="11"/>
  <c r="Q3" i="5"/>
  <c r="U14" i="6"/>
  <c r="X14" i="6"/>
  <c r="E12" i="7"/>
  <c r="J13" i="7"/>
  <c r="J17" i="7"/>
  <c r="K2" i="8"/>
  <c r="G7" i="13"/>
  <c r="W13" i="13"/>
  <c r="R13" i="13"/>
  <c r="Q13" i="13"/>
  <c r="P13" i="13"/>
  <c r="K13" i="13"/>
  <c r="Y15" i="13"/>
  <c r="U6" i="14"/>
  <c r="W6" i="14"/>
  <c r="L6" i="14"/>
  <c r="K6" i="14"/>
  <c r="J6" i="14"/>
  <c r="E6" i="14"/>
  <c r="E13" i="14"/>
  <c r="L2" i="15"/>
  <c r="G7" i="15"/>
  <c r="D14" i="15"/>
  <c r="S14" i="11"/>
  <c r="L14" i="11"/>
  <c r="K14" i="11"/>
  <c r="G14" i="11"/>
  <c r="X15" i="10"/>
  <c r="E15" i="10"/>
  <c r="D15" i="10"/>
  <c r="Y15" i="10"/>
  <c r="N7" i="5"/>
  <c r="C3" i="6"/>
  <c r="X15" i="6"/>
  <c r="T15" i="6"/>
  <c r="C12" i="8"/>
  <c r="Q13" i="9"/>
  <c r="G14" i="10"/>
  <c r="H15" i="10"/>
  <c r="F7" i="11"/>
  <c r="I8" i="11"/>
  <c r="I14" i="11"/>
  <c r="K3" i="12"/>
  <c r="AA7" i="12"/>
  <c r="S3" i="5"/>
  <c r="U7" i="5"/>
  <c r="F3" i="6"/>
  <c r="C14" i="6"/>
  <c r="C15" i="6"/>
  <c r="AA15" i="6"/>
  <c r="X3" i="7"/>
  <c r="V3" i="7"/>
  <c r="F12" i="7"/>
  <c r="K13" i="7"/>
  <c r="K17" i="7"/>
  <c r="L2" i="8"/>
  <c r="G7" i="8"/>
  <c r="S13" i="9"/>
  <c r="J14" i="10"/>
  <c r="I15" i="10"/>
  <c r="G7" i="11"/>
  <c r="J14" i="11"/>
  <c r="L3" i="12"/>
  <c r="AB7" i="12"/>
  <c r="K14" i="12"/>
  <c r="H7" i="13"/>
  <c r="F13" i="13"/>
  <c r="Z15" i="13"/>
  <c r="F6" i="14"/>
  <c r="G13" i="14"/>
  <c r="M2" i="15"/>
  <c r="H7" i="15"/>
  <c r="E14" i="15"/>
  <c r="AB8" i="11"/>
  <c r="T8" i="11"/>
  <c r="S8" i="11"/>
  <c r="O8" i="11"/>
  <c r="X12" i="8"/>
  <c r="W12" i="8"/>
  <c r="S12" i="8"/>
  <c r="Z7" i="12"/>
  <c r="T3" i="5"/>
  <c r="W8" i="9"/>
  <c r="Y8" i="9"/>
  <c r="X8" i="9"/>
  <c r="R8" i="9"/>
  <c r="W13" i="9"/>
  <c r="K14" i="10"/>
  <c r="K15" i="10"/>
  <c r="K8" i="11"/>
  <c r="M14" i="11"/>
  <c r="M3" i="12"/>
  <c r="W8" i="12"/>
  <c r="V8" i="12"/>
  <c r="U8" i="12"/>
  <c r="P8" i="12"/>
  <c r="L14" i="12"/>
  <c r="I7" i="13"/>
  <c r="AA15" i="13"/>
  <c r="K13" i="14"/>
  <c r="N2" i="15"/>
  <c r="G6" i="15"/>
  <c r="L6" i="15"/>
  <c r="AA6" i="15"/>
  <c r="X6" i="15"/>
  <c r="W6" i="15"/>
  <c r="S6" i="15"/>
  <c r="R6" i="15"/>
  <c r="M14" i="15"/>
  <c r="X7" i="15"/>
  <c r="I7" i="15"/>
  <c r="V7" i="15"/>
  <c r="U7" i="15"/>
  <c r="T7" i="15"/>
  <c r="P7" i="15"/>
  <c r="O7" i="15"/>
  <c r="Q7" i="11"/>
  <c r="S7" i="11"/>
  <c r="R7" i="11"/>
  <c r="M7" i="11"/>
  <c r="C14" i="11"/>
  <c r="W7" i="12"/>
  <c r="P15" i="13"/>
  <c r="C7" i="15"/>
  <c r="M3" i="5"/>
  <c r="G12" i="7"/>
  <c r="N13" i="7"/>
  <c r="L17" i="7"/>
  <c r="M2" i="8"/>
  <c r="E12" i="8"/>
  <c r="U3" i="5"/>
  <c r="X7" i="5"/>
  <c r="L3" i="6"/>
  <c r="G7" i="7"/>
  <c r="M7" i="7"/>
  <c r="H7" i="7"/>
  <c r="X8" i="7"/>
  <c r="J8" i="7"/>
  <c r="E8" i="7"/>
  <c r="H12" i="7"/>
  <c r="O13" i="7"/>
  <c r="M17" i="7"/>
  <c r="N2" i="8"/>
  <c r="K7" i="8"/>
  <c r="H12" i="8"/>
  <c r="C8" i="9"/>
  <c r="X13" i="9"/>
  <c r="L14" i="10"/>
  <c r="L15" i="10"/>
  <c r="I7" i="11"/>
  <c r="N8" i="11"/>
  <c r="N14" i="11"/>
  <c r="N3" i="12"/>
  <c r="C8" i="12"/>
  <c r="Q14" i="12"/>
  <c r="M7" i="13"/>
  <c r="H13" i="13"/>
  <c r="AB15" i="13"/>
  <c r="Q2" i="14"/>
  <c r="E2" i="14"/>
  <c r="AA2" i="14"/>
  <c r="Z2" i="14"/>
  <c r="Y2" i="14"/>
  <c r="R2" i="14"/>
  <c r="H6" i="14"/>
  <c r="N13" i="14"/>
  <c r="Q2" i="15"/>
  <c r="D6" i="15"/>
  <c r="K7" i="15"/>
  <c r="N14" i="15"/>
  <c r="C7" i="13"/>
  <c r="I7" i="5"/>
  <c r="I13" i="7"/>
  <c r="P6" i="8"/>
  <c r="V7" i="5"/>
  <c r="K3" i="6"/>
  <c r="C8" i="6"/>
  <c r="E14" i="6"/>
  <c r="E15" i="6"/>
  <c r="V3" i="5"/>
  <c r="Y7" i="5"/>
  <c r="O14" i="5"/>
  <c r="D8" i="6"/>
  <c r="F14" i="6"/>
  <c r="F15" i="6"/>
  <c r="C7" i="7"/>
  <c r="C8" i="7"/>
  <c r="K12" i="7"/>
  <c r="Q13" i="7"/>
  <c r="P2" i="8"/>
  <c r="M7" i="8"/>
  <c r="N12" i="8"/>
  <c r="E8" i="9"/>
  <c r="Y13" i="9"/>
  <c r="M14" i="10"/>
  <c r="M15" i="10"/>
  <c r="J7" i="11"/>
  <c r="P8" i="11"/>
  <c r="O14" i="11"/>
  <c r="P3" i="12"/>
  <c r="D8" i="12"/>
  <c r="R14" i="12"/>
  <c r="N7" i="13"/>
  <c r="M13" i="13"/>
  <c r="F2" i="14"/>
  <c r="M6" i="14"/>
  <c r="Q13" i="14"/>
  <c r="R2" i="15"/>
  <c r="E6" i="15"/>
  <c r="L7" i="15"/>
  <c r="O14" i="15"/>
  <c r="AB17" i="7"/>
  <c r="H17" i="7"/>
  <c r="G17" i="7"/>
  <c r="C17" i="7"/>
  <c r="R13" i="7"/>
  <c r="S17" i="7"/>
  <c r="Q2" i="8"/>
  <c r="N14" i="10"/>
  <c r="N15" i="10"/>
  <c r="AA6" i="11"/>
  <c r="P6" i="11"/>
  <c r="O6" i="11"/>
  <c r="I6" i="11"/>
  <c r="K7" i="11"/>
  <c r="Q8" i="11"/>
  <c r="P14" i="11"/>
  <c r="T3" i="12"/>
  <c r="F8" i="12"/>
  <c r="V14" i="12"/>
  <c r="R7" i="13"/>
  <c r="N13" i="13"/>
  <c r="G2" i="14"/>
  <c r="N6" i="14"/>
  <c r="R13" i="14"/>
  <c r="S2" i="15"/>
  <c r="I6" i="15"/>
  <c r="M7" i="15"/>
  <c r="X15" i="13"/>
  <c r="F15" i="13"/>
  <c r="S15" i="13"/>
  <c r="R15" i="13"/>
  <c r="Q15" i="13"/>
  <c r="M15" i="13"/>
  <c r="N7" i="15"/>
  <c r="AB2" i="16"/>
  <c r="X2" i="16"/>
  <c r="W2" i="16"/>
  <c r="U2" i="16"/>
  <c r="K2" i="16"/>
  <c r="D2" i="16"/>
  <c r="W7" i="17"/>
  <c r="V7" i="17"/>
  <c r="T7" i="17"/>
  <c r="S7" i="17"/>
  <c r="R7" i="17"/>
  <c r="K7" i="17"/>
  <c r="J7" i="17"/>
  <c r="F7" i="17"/>
  <c r="E7" i="17"/>
  <c r="D7" i="17"/>
  <c r="Z7" i="17"/>
  <c r="R14" i="11"/>
  <c r="U7" i="13"/>
  <c r="C15" i="13"/>
  <c r="AA2" i="15"/>
  <c r="Q7" i="15"/>
  <c r="P2" i="16"/>
  <c r="R17" i="16"/>
  <c r="J17" i="16"/>
  <c r="G17" i="16"/>
  <c r="D17" i="16"/>
  <c r="C17" i="16"/>
  <c r="Z17" i="16"/>
  <c r="Y17" i="16"/>
  <c r="G7" i="17"/>
  <c r="X17" i="18"/>
  <c r="V17" i="18"/>
  <c r="U17" i="18"/>
  <c r="T17" i="18"/>
  <c r="S17" i="18"/>
  <c r="R17" i="18"/>
  <c r="Q17" i="18"/>
  <c r="P17" i="18"/>
  <c r="O17" i="18"/>
  <c r="N17" i="18"/>
  <c r="L17" i="18"/>
  <c r="J17" i="18"/>
  <c r="I17" i="18"/>
  <c r="G17" i="18"/>
  <c r="E17" i="18"/>
  <c r="D17" i="18"/>
  <c r="C17" i="18"/>
  <c r="AB17" i="18"/>
  <c r="AA17" i="18"/>
  <c r="Y17" i="18"/>
  <c r="W17" i="18"/>
  <c r="Y15" i="14"/>
  <c r="T15" i="15"/>
  <c r="G6" i="17"/>
  <c r="D2" i="18"/>
  <c r="J3" i="18"/>
  <c r="AB8" i="18"/>
  <c r="Y12" i="18"/>
  <c r="E15" i="18"/>
  <c r="H2" i="19"/>
  <c r="K3" i="19"/>
  <c r="N6" i="19"/>
  <c r="M8" i="19"/>
  <c r="C12" i="19"/>
  <c r="K13" i="19"/>
  <c r="T14" i="19"/>
  <c r="K3" i="13"/>
  <c r="C15" i="14"/>
  <c r="Z15" i="14"/>
  <c r="U15" i="15"/>
  <c r="L6" i="17"/>
  <c r="Q12" i="17"/>
  <c r="F2" i="18"/>
  <c r="K3" i="18"/>
  <c r="C8" i="18"/>
  <c r="Z12" i="18"/>
  <c r="J15" i="18"/>
  <c r="M2" i="19"/>
  <c r="M3" i="19"/>
  <c r="O6" i="19"/>
  <c r="N8" i="19"/>
  <c r="E12" i="19"/>
  <c r="L13" i="19"/>
  <c r="U14" i="19"/>
  <c r="G2" i="18"/>
  <c r="M3" i="18"/>
  <c r="D8" i="18"/>
  <c r="AB12" i="18"/>
  <c r="K15" i="18"/>
  <c r="N2" i="19"/>
  <c r="N3" i="19"/>
  <c r="R6" i="19"/>
  <c r="O8" i="19"/>
  <c r="F12" i="19"/>
  <c r="M13" i="19"/>
  <c r="V14" i="19"/>
  <c r="C15" i="17"/>
  <c r="J2" i="18"/>
  <c r="N3" i="18"/>
  <c r="E8" i="18"/>
  <c r="M15" i="18"/>
  <c r="O2" i="19"/>
  <c r="P3" i="19"/>
  <c r="W6" i="19"/>
  <c r="P8" i="19"/>
  <c r="G12" i="19"/>
  <c r="O13" i="19"/>
  <c r="AB14" i="19"/>
  <c r="P3" i="13"/>
  <c r="G15" i="14"/>
  <c r="Z12" i="15"/>
  <c r="Z13" i="15"/>
  <c r="AA15" i="15"/>
  <c r="F6" i="16"/>
  <c r="J14" i="16"/>
  <c r="H8" i="17"/>
  <c r="U12" i="17"/>
  <c r="H15" i="17"/>
  <c r="L17" i="17"/>
  <c r="L2" i="18"/>
  <c r="Q3" i="18"/>
  <c r="I6" i="18"/>
  <c r="G8" i="18"/>
  <c r="H13" i="18"/>
  <c r="S15" i="18"/>
  <c r="R2" i="19"/>
  <c r="R3" i="19"/>
  <c r="R8" i="19"/>
  <c r="I12" i="19"/>
  <c r="Q13" i="19"/>
  <c r="C15" i="19"/>
  <c r="N6" i="7"/>
  <c r="V3" i="13"/>
  <c r="H15" i="14"/>
  <c r="AA12" i="15"/>
  <c r="AA13" i="15"/>
  <c r="G6" i="16"/>
  <c r="Y14" i="16"/>
  <c r="J8" i="17"/>
  <c r="V12" i="17"/>
  <c r="I15" i="17"/>
  <c r="M17" i="17"/>
  <c r="M2" i="18"/>
  <c r="R3" i="18"/>
  <c r="J6" i="18"/>
  <c r="J8" i="18"/>
  <c r="P13" i="18"/>
  <c r="W15" i="18"/>
  <c r="S2" i="19"/>
  <c r="S3" i="19"/>
  <c r="S8" i="19"/>
  <c r="J12" i="19"/>
  <c r="T13" i="19"/>
  <c r="E15" i="19"/>
  <c r="W3" i="13"/>
  <c r="I15" i="14"/>
  <c r="AB13" i="15"/>
  <c r="H6" i="16"/>
  <c r="N8" i="17"/>
  <c r="W12" i="17"/>
  <c r="N15" i="17"/>
  <c r="O17" i="17"/>
  <c r="N2" i="18"/>
  <c r="S3" i="18"/>
  <c r="K6" i="18"/>
  <c r="K8" i="18"/>
  <c r="X15" i="18"/>
  <c r="U2" i="19"/>
  <c r="T3" i="19"/>
  <c r="T8" i="19"/>
  <c r="L12" i="19"/>
  <c r="V13" i="19"/>
  <c r="F15" i="19"/>
  <c r="Y15" i="18"/>
  <c r="V2" i="19"/>
  <c r="U3" i="19"/>
  <c r="V8" i="19"/>
  <c r="P12" i="19"/>
  <c r="W13" i="19"/>
  <c r="G15" i="19"/>
  <c r="H14" i="18"/>
  <c r="J15" i="19"/>
  <c r="K6" i="16"/>
  <c r="Q8" i="17"/>
  <c r="AB12" i="17"/>
  <c r="U17" i="17"/>
  <c r="R2" i="18"/>
  <c r="Y3" i="18"/>
  <c r="Q6" i="18"/>
  <c r="O8" i="18"/>
  <c r="L14" i="18"/>
  <c r="AA15" i="18"/>
  <c r="X2" i="19"/>
  <c r="W3" i="19"/>
  <c r="Y8" i="19"/>
  <c r="R12" i="19"/>
  <c r="Z13" i="19"/>
  <c r="L15" i="19"/>
  <c r="C17" i="19"/>
  <c r="W17" i="17"/>
  <c r="S2" i="18"/>
  <c r="W6" i="18"/>
  <c r="P8" i="18"/>
  <c r="Q14" i="18"/>
  <c r="AB15" i="18"/>
  <c r="Z2" i="19"/>
  <c r="Y3" i="19"/>
  <c r="Z8" i="19"/>
  <c r="T12" i="19"/>
  <c r="AA13" i="19"/>
  <c r="M15" i="19"/>
  <c r="E17" i="19"/>
  <c r="O15" i="19"/>
  <c r="F17" i="19"/>
  <c r="V2" i="18"/>
  <c r="U14" i="18"/>
  <c r="AA3" i="19"/>
  <c r="AB8" i="19"/>
  <c r="V12" i="19"/>
  <c r="F14" i="19"/>
  <c r="P15" i="19"/>
  <c r="G17" i="19"/>
  <c r="S3" i="16"/>
  <c r="O6" i="16"/>
  <c r="K12" i="16"/>
  <c r="U8" i="17"/>
  <c r="E12" i="17"/>
  <c r="N13" i="17"/>
  <c r="Z17" i="17"/>
  <c r="X2" i="18"/>
  <c r="S8" i="18"/>
  <c r="V14" i="18"/>
  <c r="C3" i="19"/>
  <c r="AB3" i="19"/>
  <c r="C8" i="19"/>
  <c r="Y12" i="19"/>
  <c r="G14" i="19"/>
  <c r="Q15" i="19"/>
  <c r="M17" i="19"/>
  <c r="L17" i="15"/>
  <c r="T3" i="16"/>
  <c r="Q6" i="16"/>
  <c r="W12" i="16"/>
  <c r="AA17" i="17"/>
  <c r="Y2" i="18"/>
  <c r="T8" i="18"/>
  <c r="X14" i="18"/>
  <c r="D3" i="19"/>
  <c r="D8" i="19"/>
  <c r="AA12" i="19"/>
  <c r="H14" i="19"/>
  <c r="W15" i="19"/>
  <c r="O17" i="19"/>
  <c r="R15" i="14"/>
  <c r="W17" i="15"/>
  <c r="W3" i="16"/>
  <c r="S6" i="16"/>
  <c r="X12" i="16"/>
  <c r="Z2" i="18"/>
  <c r="Y14" i="18"/>
  <c r="E3" i="19"/>
  <c r="E8" i="19"/>
  <c r="AB12" i="19"/>
  <c r="J14" i="19"/>
  <c r="Y15" i="19"/>
  <c r="Q17" i="19"/>
  <c r="AA14" i="18"/>
  <c r="F3" i="19"/>
  <c r="K14" i="19"/>
  <c r="AA15" i="19"/>
  <c r="R17" i="19"/>
  <c r="V6" i="16"/>
  <c r="AA8" i="17"/>
  <c r="I12" i="17"/>
  <c r="D3" i="18"/>
  <c r="G3" i="19"/>
  <c r="E6" i="19"/>
  <c r="G8" i="19"/>
  <c r="C13" i="19"/>
  <c r="L14" i="19"/>
  <c r="AB15" i="19"/>
  <c r="V17" i="19"/>
  <c r="E3" i="18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I3" i="18"/>
  <c r="J3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<sst xmlns="http://schemas.openxmlformats.org/spreadsheetml/2006/main" count="3113" uniqueCount="587">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</sst>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157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SD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2.0673421879989881E-3</v>
      </c>
      <c r="C2" s="7">
        <f>$B2 * IFERROR(VLOOKUP("transport|PM25|Premature mortality", US_national_yearly!$D:$AM, 11, FALSE) / VLOOKUP("transport|PM25|Premature mortality", US_national_yearly!$D:$AM, 10, FALSE), 1)</f>
        <v>2.0929727005784366E-3</v>
      </c>
      <c r="D2" s="7">
        <f>$B2 * IFERROR(VLOOKUP("transport|PM25|Premature mortality", US_national_yearly!$D:$AM, 12, FALSE) / VLOOKUP("transport|PM25|Premature mortality", US_national_yearly!$D:$AM, 10, FALSE), 1)</f>
        <v>2.1186032131578843E-3</v>
      </c>
      <c r="E2" s="7">
        <f>$B2 * IFERROR(VLOOKUP("transport|PM25|Premature mortality", US_national_yearly!$D:$AM, 13, FALSE) / VLOOKUP("transport|PM25|Premature mortality", US_national_yearly!$D:$AM, 10, FALSE), 1)</f>
        <v>2.1442337257373324E-3</v>
      </c>
      <c r="F2" s="7">
        <f>$B2 * IFERROR(VLOOKUP("transport|PM25|Premature mortality", US_national_yearly!$D:$AM, 14, FALSE) / VLOOKUP("transport|PM25|Premature mortality", US_national_yearly!$D:$AM, 10, FALSE), 1)</f>
        <v>2.16986423831678E-3</v>
      </c>
      <c r="G2" s="7">
        <f>$B2 * IFERROR(VLOOKUP("transport|PM25|Premature mortality", US_national_yearly!$D:$AM, 15, FALSE) / VLOOKUP("transport|PM25|Premature mortality", US_national_yearly!$D:$AM, 10, FALSE), 1)</f>
        <v>2.2197794682645051E-3</v>
      </c>
      <c r="H2" s="7">
        <f>$B2 * IFERROR(VLOOKUP("transport|PM25|Premature mortality", US_national_yearly!$D:$AM, 16, FALSE) / VLOOKUP("transport|PM25|Premature mortality", US_national_yearly!$D:$AM, 10, FALSE), 1)</f>
        <v>2.2696946982122303E-3</v>
      </c>
      <c r="I2" s="7">
        <f>$B2 * IFERROR(VLOOKUP("transport|PM25|Premature mortality", US_national_yearly!$D:$AM, 17, FALSE) / VLOOKUP("transport|PM25|Premature mortality", US_national_yearly!$D:$AM, 10, FALSE), 1)</f>
        <v>2.3024811224302607E-3</v>
      </c>
      <c r="J2" s="7">
        <f>$B2 * IFERROR(VLOOKUP("transport|PM25|Premature mortality", US_national_yearly!$D:$AM, 18, FALSE) / VLOOKUP("transport|PM25|Premature mortality", US_national_yearly!$D:$AM, 10, FALSE), 1)</f>
        <v>2.335267546648292E-3</v>
      </c>
      <c r="K2" s="7">
        <f>$B2 * IFERROR(VLOOKUP("transport|PM25|Premature mortality", US_national_yearly!$D:$AM, 19, FALSE) / VLOOKUP("transport|PM25|Premature mortality", US_national_yearly!$D:$AM, 10, FALSE), 1)</f>
        <v>2.3680539708663228E-3</v>
      </c>
      <c r="L2" s="7">
        <f>$B2 * IFERROR(VLOOKUP("transport|PM25|Premature mortality", US_national_yearly!$D:$AM, 20, FALSE) / VLOOKUP("transport|PM25|Premature mortality", US_national_yearly!$D:$AM, 10, FALSE), 1)</f>
        <v>2.4008403950843546E-3</v>
      </c>
      <c r="M2" s="7">
        <f>$B2 * IFERROR(VLOOKUP("transport|PM25|Premature mortality", US_national_yearly!$D:$AM, 21, FALSE) / VLOOKUP("transport|PM25|Premature mortality", US_national_yearly!$D:$AM, 10, FALSE), 1)</f>
        <v>2.4336268193023854E-3</v>
      </c>
      <c r="N2" s="7">
        <f>$B2 * IFERROR(VLOOKUP("transport|PM25|Premature mortality", US_national_yearly!$D:$AM, 22, FALSE) / VLOOKUP("transport|PM25|Premature mortality", US_national_yearly!$D:$AM, 10, FALSE), 1)</f>
        <v>2.4590833910472115E-3</v>
      </c>
      <c r="O2" s="7">
        <f>$B2 * IFERROR(VLOOKUP("transport|PM25|Premature mortality", US_national_yearly!$D:$AM, 23, FALSE) / VLOOKUP("transport|PM25|Premature mortality", US_national_yearly!$D:$AM, 10, FALSE), 1)</f>
        <v>2.4845399627920375E-3</v>
      </c>
      <c r="P2" s="7">
        <f>$B2 * IFERROR(VLOOKUP("transport|PM25|Premature mortality", US_national_yearly!$D:$AM, 24, FALSE) / VLOOKUP("transport|PM25|Premature mortality", US_national_yearly!$D:$AM, 10, FALSE), 1)</f>
        <v>2.5099965345368636E-3</v>
      </c>
      <c r="Q2" s="7">
        <f>$B2 * IFERROR(VLOOKUP("transport|PM25|Premature mortality", US_national_yearly!$D:$AM, 25, FALSE) / VLOOKUP("transport|PM25|Premature mortality", US_national_yearly!$D:$AM, 10, FALSE), 1)</f>
        <v>2.5354531062816896E-3</v>
      </c>
      <c r="R2" s="7">
        <f>$B2 * IFERROR(VLOOKUP("transport|PM25|Premature mortality", US_national_yearly!$D:$AM, 26, FALSE) / VLOOKUP("transport|PM25|Premature mortality", US_national_yearly!$D:$AM, 10, FALSE), 1)</f>
        <v>2.5609096780265161E-3</v>
      </c>
      <c r="S2" s="7">
        <f>$B2 * IFERROR(VLOOKUP("transport|PM25|Premature mortality", US_national_yearly!$D:$AM, 27, FALSE) / VLOOKUP("transport|PM25|Premature mortality", US_national_yearly!$D:$AM, 10, FALSE), 1)</f>
        <v>2.5743958133969693E-3</v>
      </c>
      <c r="T2" s="7">
        <f>$B2 * IFERROR(VLOOKUP("transport|PM25|Premature mortality", US_national_yearly!$D:$AM, 28, FALSE) / VLOOKUP("transport|PM25|Premature mortality", US_national_yearly!$D:$AM, 10, FALSE), 1)</f>
        <v>2.5878819487674216E-3</v>
      </c>
      <c r="U2" s="7">
        <f>$B2 * IFERROR(VLOOKUP("transport|PM25|Premature mortality", US_national_yearly!$D:$AM, 29, FALSE) / VLOOKUP("transport|PM25|Premature mortality", US_national_yearly!$D:$AM, 10, FALSE), 1)</f>
        <v>2.6013680841378744E-3</v>
      </c>
      <c r="V2" s="7">
        <f>$B2 * IFERROR(VLOOKUP("transport|PM25|Premature mortality", US_national_yearly!$D:$AM, 30, FALSE) / VLOOKUP("transport|PM25|Premature mortality", US_national_yearly!$D:$AM, 10, FALSE), 1)</f>
        <v>2.6148542195083271E-3</v>
      </c>
      <c r="W2" s="7">
        <f>$B2 * IFERROR(VLOOKUP("transport|PM25|Premature mortality", US_national_yearly!$D:$AM, 31, FALSE) / VLOOKUP("transport|PM25|Premature mortality", US_national_yearly!$D:$AM, 10, FALSE), 1)</f>
        <v>2.6283403548787794E-3</v>
      </c>
      <c r="X2" s="7">
        <f>$B2 * IFERROR(VLOOKUP("transport|PM25|Premature mortality", US_national_yearly!$D:$AM, 32, FALSE) / VLOOKUP("transport|PM25|Premature mortality", US_national_yearly!$D:$AM, 10, FALSE), 1)</f>
        <v>2.6306985099707873E-3</v>
      </c>
      <c r="Y2" s="7">
        <f>$B2 * IFERROR(VLOOKUP("transport|PM25|Premature mortality", US_national_yearly!$D:$AM, 33, FALSE) / VLOOKUP("transport|PM25|Premature mortality", US_national_yearly!$D:$AM, 10, FALSE), 1)</f>
        <v>2.6330566650627951E-3</v>
      </c>
      <c r="Z2" s="7">
        <f>$B2 * IFERROR(VLOOKUP("transport|PM25|Premature mortality", US_national_yearly!$D:$AM, 34, FALSE) / VLOOKUP("transport|PM25|Premature mortality", US_national_yearly!$D:$AM, 10, FALSE), 1)</f>
        <v>2.635414820154803E-3</v>
      </c>
      <c r="AA2" s="7">
        <f>$B2 * IFERROR(VLOOKUP("transport|PM25|Premature mortality", US_national_yearly!$D:$AM, 35, FALSE) / VLOOKUP("transport|PM25|Premature mortality", US_national_yearly!$D:$AM, 10, FALSE), 1)</f>
        <v>2.6377729752468109E-3</v>
      </c>
      <c r="AB2" s="7">
        <f>$B2 * IFERROR(VLOOKUP("transport|PM25|Premature mortality", US_national_yearly!$D:$AM, 36, FALSE) / VLOOKUP("transport|PM25|Premature mortality", US_national_yearly!$D:$AM, 10, FALSE), 1)</f>
        <v>2.6401311303388187E-3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6.7417574627696578E-6</v>
      </c>
      <c r="C3" s="7">
        <f>$B3 * IFERROR(VLOOKUP("transport|PM25|Infant mortality", US_national_yearly!$D:$AM, 11, FALSE) / VLOOKUP("transport|PM25|Infant mortality", US_national_yearly!$D:$AM, 10, FALSE), 1)</f>
        <v>6.6829754895918411E-6</v>
      </c>
      <c r="D3" s="7">
        <f>$B3 * IFERROR(VLOOKUP("transport|PM25|Infant mortality", US_national_yearly!$D:$AM, 12, FALSE) / VLOOKUP("transport|PM25|Infant mortality", US_national_yearly!$D:$AM, 10, FALSE), 1)</f>
        <v>6.6241935164140227E-6</v>
      </c>
      <c r="E3" s="7">
        <f>$B3 * IFERROR(VLOOKUP("transport|PM25|Infant mortality", US_national_yearly!$D:$AM, 13, FALSE) / VLOOKUP("transport|PM25|Infant mortality", US_national_yearly!$D:$AM, 10, FALSE), 1)</f>
        <v>6.5654115432362061E-6</v>
      </c>
      <c r="F3" s="7">
        <f>$B3 * IFERROR(VLOOKUP("transport|PM25|Infant mortality", US_national_yearly!$D:$AM, 14, FALSE) / VLOOKUP("transport|PM25|Infant mortality", US_national_yearly!$D:$AM, 10, FALSE), 1)</f>
        <v>6.5066295700583877E-6</v>
      </c>
      <c r="G3" s="7">
        <f>$B3 * IFERROR(VLOOKUP("transport|PM25|Infant mortality", US_national_yearly!$D:$AM, 15, FALSE) / VLOOKUP("transport|PM25|Infant mortality", US_national_yearly!$D:$AM, 10, FALSE), 1)</f>
        <v>4.3272567164320437E-6</v>
      </c>
      <c r="H3" s="7">
        <f>$B3 * IFERROR(VLOOKUP("transport|PM25|Infant mortality", US_national_yearly!$D:$AM, 16, FALSE) / VLOOKUP("transport|PM25|Infant mortality", US_national_yearly!$D:$AM, 10, FALSE), 1)</f>
        <v>2.1478838628056985E-6</v>
      </c>
      <c r="I3" s="7">
        <f>$B3 * IFERROR(VLOOKUP("transport|PM25|Infant mortality", US_national_yearly!$D:$AM, 17, FALSE) / VLOOKUP("transport|PM25|Infant mortality", US_national_yearly!$D:$AM, 10, FALSE), 1)</f>
        <v>2.1338438937745321E-6</v>
      </c>
      <c r="J3" s="7">
        <f>$B3 * IFERROR(VLOOKUP("transport|PM25|Infant mortality", US_national_yearly!$D:$AM, 18, FALSE) / VLOOKUP("transport|PM25|Infant mortality", US_national_yearly!$D:$AM, 10, FALSE), 1)</f>
        <v>2.1198039247433649E-6</v>
      </c>
      <c r="K3" s="7">
        <f>$B3 * IFERROR(VLOOKUP("transport|PM25|Infant mortality", US_national_yearly!$D:$AM, 19, FALSE) / VLOOKUP("transport|PM25|Infant mortality", US_national_yearly!$D:$AM, 10, FALSE), 1)</f>
        <v>2.1057639557121976E-6</v>
      </c>
      <c r="L3" s="7">
        <f>$B3 * IFERROR(VLOOKUP("transport|PM25|Infant mortality", US_national_yearly!$D:$AM, 20, FALSE) / VLOOKUP("transport|PM25|Infant mortality", US_national_yearly!$D:$AM, 10, FALSE), 1)</f>
        <v>2.0917239866810308E-6</v>
      </c>
      <c r="M3" s="7">
        <f>$B3 * IFERROR(VLOOKUP("transport|PM25|Infant mortality", US_national_yearly!$D:$AM, 21, FALSE) / VLOOKUP("transport|PM25|Infant mortality", US_national_yearly!$D:$AM, 10, FALSE), 1)</f>
        <v>2.077684017649864E-6</v>
      </c>
      <c r="N3" s="7">
        <f>$B3 * IFERROR(VLOOKUP("transport|PM25|Infant mortality", US_national_yearly!$D:$AM, 22, FALSE) / VLOOKUP("transport|PM25|Infant mortality", US_national_yearly!$D:$AM, 10, FALSE), 1)</f>
        <v>2.0688653627219119E-6</v>
      </c>
      <c r="O3" s="7">
        <f>$B3 * IFERROR(VLOOKUP("transport|PM25|Infant mortality", US_national_yearly!$D:$AM, 23, FALSE) / VLOOKUP("transport|PM25|Infant mortality", US_national_yearly!$D:$AM, 10, FALSE), 1)</f>
        <v>2.0600467077939603E-6</v>
      </c>
      <c r="P3" s="7">
        <f>$B3 * IFERROR(VLOOKUP("transport|PM25|Infant mortality", US_national_yearly!$D:$AM, 24, FALSE) / VLOOKUP("transport|PM25|Infant mortality", US_national_yearly!$D:$AM, 10, FALSE), 1)</f>
        <v>2.0512280528660082E-6</v>
      </c>
      <c r="Q3" s="7">
        <f>$B3 * IFERROR(VLOOKUP("transport|PM25|Infant mortality", US_national_yearly!$D:$AM, 25, FALSE) / VLOOKUP("transport|PM25|Infant mortality", US_national_yearly!$D:$AM, 10, FALSE), 1)</f>
        <v>2.0424093979380566E-6</v>
      </c>
      <c r="R3" s="7">
        <f>$B3 * IFERROR(VLOOKUP("transport|PM25|Infant mortality", US_national_yearly!$D:$AM, 26, FALSE) / VLOOKUP("transport|PM25|Infant mortality", US_national_yearly!$D:$AM, 10, FALSE), 1)</f>
        <v>2.0335907430101046E-6</v>
      </c>
      <c r="S3" s="7">
        <f>$B3 * IFERROR(VLOOKUP("transport|PM25|Infant mortality", US_national_yearly!$D:$AM, 27, FALSE) / VLOOKUP("transport|PM25|Infant mortality", US_national_yearly!$D:$AM, 10, FALSE), 1)</f>
        <v>2.0225981093309147E-6</v>
      </c>
      <c r="T3" s="7">
        <f>$B3 * IFERROR(VLOOKUP("transport|PM25|Infant mortality", US_national_yearly!$D:$AM, 28, FALSE) / VLOOKUP("transport|PM25|Infant mortality", US_national_yearly!$D:$AM, 10, FALSE), 1)</f>
        <v>2.0116054756517245E-6</v>
      </c>
      <c r="U3" s="7">
        <f>$B3 * IFERROR(VLOOKUP("transport|PM25|Infant mortality", US_national_yearly!$D:$AM, 29, FALSE) / VLOOKUP("transport|PM25|Infant mortality", US_national_yearly!$D:$AM, 10, FALSE), 1)</f>
        <v>2.0006128419725347E-6</v>
      </c>
      <c r="V3" s="7">
        <f>$B3 * IFERROR(VLOOKUP("transport|PM25|Infant mortality", US_national_yearly!$D:$AM, 30, FALSE) / VLOOKUP("transport|PM25|Infant mortality", US_national_yearly!$D:$AM, 10, FALSE), 1)</f>
        <v>1.9896202082933445E-6</v>
      </c>
      <c r="W3" s="7">
        <f>$B3 * IFERROR(VLOOKUP("transport|PM25|Infant mortality", US_national_yearly!$D:$AM, 31, FALSE) / VLOOKUP("transport|PM25|Infant mortality", US_national_yearly!$D:$AM, 10, FALSE), 1)</f>
        <v>1.9786275746141542E-6</v>
      </c>
      <c r="X3" s="7">
        <f>$B3 * IFERROR(VLOOKUP("transport|PM25|Infant mortality", US_national_yearly!$D:$AM, 32, FALSE) / VLOOKUP("transport|PM25|Infant mortality", US_national_yearly!$D:$AM, 10, FALSE), 1)</f>
        <v>1.9667761338788836E-6</v>
      </c>
      <c r="Y3" s="7">
        <f>$B3 * IFERROR(VLOOKUP("transport|PM25|Infant mortality", US_national_yearly!$D:$AM, 33, FALSE) / VLOOKUP("transport|PM25|Infant mortality", US_national_yearly!$D:$AM, 10, FALSE), 1)</f>
        <v>1.9549246931436125E-6</v>
      </c>
      <c r="Z3" s="7">
        <f>$B3 * IFERROR(VLOOKUP("transport|PM25|Infant mortality", US_national_yearly!$D:$AM, 34, FALSE) / VLOOKUP("transport|PM25|Infant mortality", US_national_yearly!$D:$AM, 10, FALSE), 1)</f>
        <v>1.9430732524083419E-6</v>
      </c>
      <c r="AA3" s="7">
        <f>$B3 * IFERROR(VLOOKUP("transport|PM25|Infant mortality", US_national_yearly!$D:$AM, 35, FALSE) / VLOOKUP("transport|PM25|Infant mortality", US_national_yearly!$D:$AM, 10, FALSE), 1)</f>
        <v>1.9312218116730709E-6</v>
      </c>
      <c r="AB3" s="7">
        <f>$B3 * IFERROR(VLOOKUP("transport|PM25|Infant mortality", US_national_yearly!$D:$AM, 36, FALSE) / VLOOKUP("transport|PM25|Infant mortality", US_national_yearly!$D:$AM, 10, FALSE), 1)</f>
        <v>1.9193703709378002E-6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6.3958577026397914E-3</v>
      </c>
      <c r="C6" s="7">
        <f>$B6 * IFERROR(VLOOKUP("transport|PM25|Asthma symptoms cough", US_national_yearly!$D:$AM, 11, FALSE) / VLOOKUP("transport|PM25|Asthma symptoms cough", US_national_yearly!$D:$AM, 10, FALSE), 1)</f>
        <v>6.3958577026397914E-3</v>
      </c>
      <c r="D6" s="7">
        <f>$B6 * IFERROR(VLOOKUP("transport|PM25|Asthma symptoms cough", US_national_yearly!$D:$AM, 12, FALSE) / VLOOKUP("transport|PM25|Asthma symptoms cough", US_national_yearly!$D:$AM, 10, FALSE), 1)</f>
        <v>6.3958577026397914E-3</v>
      </c>
      <c r="E6" s="7">
        <f>$B6 * IFERROR(VLOOKUP("transport|PM25|Asthma symptoms cough", US_national_yearly!$D:$AM, 13, FALSE) / VLOOKUP("transport|PM25|Asthma symptoms cough", US_national_yearly!$D:$AM, 10, FALSE), 1)</f>
        <v>6.3958577026397914E-3</v>
      </c>
      <c r="F6" s="7">
        <f>$B6 * IFERROR(VLOOKUP("transport|PM25|Asthma symptoms cough", US_national_yearly!$D:$AM, 14, FALSE) / VLOOKUP("transport|PM25|Asthma symptoms cough", US_national_yearly!$D:$AM, 10, FALSE), 1)</f>
        <v>6.3958577026397914E-3</v>
      </c>
      <c r="G6" s="7">
        <f>$B6 * IFERROR(VLOOKUP("transport|PM25|Asthma symptoms cough", US_national_yearly!$D:$AM, 15, FALSE) / VLOOKUP("transport|PM25|Asthma symptoms cough", US_national_yearly!$D:$AM, 10, FALSE), 1)</f>
        <v>6.3958577026397914E-3</v>
      </c>
      <c r="H6" s="7">
        <f>$B6 * IFERROR(VLOOKUP("transport|PM25|Asthma symptoms cough", US_national_yearly!$D:$AM, 16, FALSE) / VLOOKUP("transport|PM25|Asthma symptoms cough", US_national_yearly!$D:$AM, 10, FALSE), 1)</f>
        <v>6.3958577026397914E-3</v>
      </c>
      <c r="I6" s="7">
        <f>$B6 * IFERROR(VLOOKUP("transport|PM25|Asthma symptoms cough", US_national_yearly!$D:$AM, 17, FALSE) / VLOOKUP("transport|PM25|Asthma symptoms cough", US_national_yearly!$D:$AM, 10, FALSE), 1)</f>
        <v>6.3958577026397914E-3</v>
      </c>
      <c r="J6" s="7">
        <f>$B6 * IFERROR(VLOOKUP("transport|PM25|Asthma symptoms cough", US_national_yearly!$D:$AM, 18, FALSE) / VLOOKUP("transport|PM25|Asthma symptoms cough", US_national_yearly!$D:$AM, 10, FALSE), 1)</f>
        <v>6.3958577026397914E-3</v>
      </c>
      <c r="K6" s="7">
        <f>$B6 * IFERROR(VLOOKUP("transport|PM25|Asthma symptoms cough", US_national_yearly!$D:$AM, 19, FALSE) / VLOOKUP("transport|PM25|Asthma symptoms cough", US_national_yearly!$D:$AM, 10, FALSE), 1)</f>
        <v>6.3958577026397914E-3</v>
      </c>
      <c r="L6" s="7">
        <f>$B6 * IFERROR(VLOOKUP("transport|PM25|Asthma symptoms cough", US_national_yearly!$D:$AM, 20, FALSE) / VLOOKUP("transport|PM25|Asthma symptoms cough", US_national_yearly!$D:$AM, 10, FALSE), 1)</f>
        <v>6.3958577026397914E-3</v>
      </c>
      <c r="M6" s="7">
        <f>$B6 * IFERROR(VLOOKUP("transport|PM25|Asthma symptoms cough", US_national_yearly!$D:$AM, 21, FALSE) / VLOOKUP("transport|PM25|Asthma symptoms cough", US_national_yearly!$D:$AM, 10, FALSE), 1)</f>
        <v>6.3958577026397914E-3</v>
      </c>
      <c r="N6" s="7">
        <f>$B6 * IFERROR(VLOOKUP("transport|PM25|Asthma symptoms cough", US_national_yearly!$D:$AM, 22, FALSE) / VLOOKUP("transport|PM25|Asthma symptoms cough", US_national_yearly!$D:$AM, 10, FALSE), 1)</f>
        <v>6.3958577026397914E-3</v>
      </c>
      <c r="O6" s="7">
        <f>$B6 * IFERROR(VLOOKUP("transport|PM25|Asthma symptoms cough", US_national_yearly!$D:$AM, 23, FALSE) / VLOOKUP("transport|PM25|Asthma symptoms cough", US_national_yearly!$D:$AM, 10, FALSE), 1)</f>
        <v>6.3958577026397914E-3</v>
      </c>
      <c r="P6" s="7">
        <f>$B6 * IFERROR(VLOOKUP("transport|PM25|Asthma symptoms cough", US_national_yearly!$D:$AM, 24, FALSE) / VLOOKUP("transport|PM25|Asthma symptoms cough", US_national_yearly!$D:$AM, 10, FALSE), 1)</f>
        <v>6.3958577026397914E-3</v>
      </c>
      <c r="Q6" s="7">
        <f>$B6 * IFERROR(VLOOKUP("transport|PM25|Asthma symptoms cough", US_national_yearly!$D:$AM, 25, FALSE) / VLOOKUP("transport|PM25|Asthma symptoms cough", US_national_yearly!$D:$AM, 10, FALSE), 1)</f>
        <v>6.3958577026397914E-3</v>
      </c>
      <c r="R6" s="7">
        <f>$B6 * IFERROR(VLOOKUP("transport|PM25|Asthma symptoms cough", US_national_yearly!$D:$AM, 26, FALSE) / VLOOKUP("transport|PM25|Asthma symptoms cough", US_national_yearly!$D:$AM, 10, FALSE), 1)</f>
        <v>6.3958577026397914E-3</v>
      </c>
      <c r="S6" s="7">
        <f>$B6 * IFERROR(VLOOKUP("transport|PM25|Asthma symptoms cough", US_national_yearly!$D:$AM, 27, FALSE) / VLOOKUP("transport|PM25|Asthma symptoms cough", US_national_yearly!$D:$AM, 10, FALSE), 1)</f>
        <v>6.3958577026397914E-3</v>
      </c>
      <c r="T6" s="7">
        <f>$B6 * IFERROR(VLOOKUP("transport|PM25|Asthma symptoms cough", US_national_yearly!$D:$AM, 28, FALSE) / VLOOKUP("transport|PM25|Asthma symptoms cough", US_national_yearly!$D:$AM, 10, FALSE), 1)</f>
        <v>6.3958577026397914E-3</v>
      </c>
      <c r="U6" s="7">
        <f>$B6 * IFERROR(VLOOKUP("transport|PM25|Asthma symptoms cough", US_national_yearly!$D:$AM, 29, FALSE) / VLOOKUP("transport|PM25|Asthma symptoms cough", US_national_yearly!$D:$AM, 10, FALSE), 1)</f>
        <v>6.3958577026397914E-3</v>
      </c>
      <c r="V6" s="7">
        <f>$B6 * IFERROR(VLOOKUP("transport|PM25|Asthma symptoms cough", US_national_yearly!$D:$AM, 30, FALSE) / VLOOKUP("transport|PM25|Asthma symptoms cough", US_national_yearly!$D:$AM, 10, FALSE), 1)</f>
        <v>6.3958577026397914E-3</v>
      </c>
      <c r="W6" s="7">
        <f>$B6 * IFERROR(VLOOKUP("transport|PM25|Asthma symptoms cough", US_national_yearly!$D:$AM, 31, FALSE) / VLOOKUP("transport|PM25|Asthma symptoms cough", US_national_yearly!$D:$AM, 10, FALSE), 1)</f>
        <v>6.3958577026397914E-3</v>
      </c>
      <c r="X6" s="7">
        <f>$B6 * IFERROR(VLOOKUP("transport|PM25|Asthma symptoms cough", US_national_yearly!$D:$AM, 32, FALSE) / VLOOKUP("transport|PM25|Asthma symptoms cough", US_national_yearly!$D:$AM, 10, FALSE), 1)</f>
        <v>6.3958577026397914E-3</v>
      </c>
      <c r="Y6" s="7">
        <f>$B6 * IFERROR(VLOOKUP("transport|PM25|Asthma symptoms cough", US_national_yearly!$D:$AM, 33, FALSE) / VLOOKUP("transport|PM25|Asthma symptoms cough", US_national_yearly!$D:$AM, 10, FALSE), 1)</f>
        <v>6.3958577026397914E-3</v>
      </c>
      <c r="Z6" s="7">
        <f>$B6 * IFERROR(VLOOKUP("transport|PM25|Asthma symptoms cough", US_national_yearly!$D:$AM, 34, FALSE) / VLOOKUP("transport|PM25|Asthma symptoms cough", US_national_yearly!$D:$AM, 10, FALSE), 1)</f>
        <v>6.3958577026397914E-3</v>
      </c>
      <c r="AA6" s="7">
        <f>$B6 * IFERROR(VLOOKUP("transport|PM25|Asthma symptoms cough", US_national_yearly!$D:$AM, 35, FALSE) / VLOOKUP("transport|PM25|Asthma symptoms cough", US_national_yearly!$D:$AM, 10, FALSE), 1)</f>
        <v>6.3958577026397914E-3</v>
      </c>
      <c r="AB6" s="7">
        <f>$B6 * IFERROR(VLOOKUP("transport|PM25|Asthma symptoms cough", US_national_yearly!$D:$AM, 36, FALSE) / VLOOKUP("transport|PM25|Asthma symptoms cough", US_national_yearly!$D:$AM, 10, FALSE), 1)</f>
        <v>6.3958577026397914E-3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8.6129173483558766E-3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8.6129173483558766E-3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8.6129173483558766E-3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8.6129173483558766E-3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8.6129173483558766E-3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8.6129173483558766E-3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8.6129173483558766E-3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8.6129173483558766E-3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8.6129173483558766E-3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8.6129173483558766E-3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8.6129173483558766E-3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8.6129173483558766E-3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8.6129173483558766E-3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8.6129173483558766E-3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8.6129173483558766E-3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8.6129173483558766E-3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8.6129173483558766E-3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8.6129173483558766E-3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8.6129173483558766E-3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8.6129173483558766E-3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8.6129173483558766E-3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8.6129173483558766E-3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8.6129173483558766E-3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8.6129173483558766E-3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8.6129173483558766E-3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8.6129173483558766E-3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8.6129173483558766E-3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1.3159196178053835E-2</v>
      </c>
      <c r="C8" s="7">
        <f>$B8 * IFERROR(VLOOKUP("transport|PM25|Asthma symptoms wheeze", US_national_yearly!$D:$AM, 11, FALSE) / VLOOKUP("transport|PM25|Asthma symptoms wheeze", US_national_yearly!$D:$AM, 10, FALSE), 1)</f>
        <v>1.3159196178053835E-2</v>
      </c>
      <c r="D8" s="7">
        <f>$B8 * IFERROR(VLOOKUP("transport|PM25|Asthma symptoms wheeze", US_national_yearly!$D:$AM, 12, FALSE) / VLOOKUP("transport|PM25|Asthma symptoms wheeze", US_national_yearly!$D:$AM, 10, FALSE), 1)</f>
        <v>1.3159196178053835E-2</v>
      </c>
      <c r="E8" s="7">
        <f>$B8 * IFERROR(VLOOKUP("transport|PM25|Asthma symptoms wheeze", US_national_yearly!$D:$AM, 13, FALSE) / VLOOKUP("transport|PM25|Asthma symptoms wheeze", US_national_yearly!$D:$AM, 10, FALSE), 1)</f>
        <v>1.3159196178053835E-2</v>
      </c>
      <c r="F8" s="7">
        <f>$B8 * IFERROR(VLOOKUP("transport|PM25|Asthma symptoms wheeze", US_national_yearly!$D:$AM, 14, FALSE) / VLOOKUP("transport|PM25|Asthma symptoms wheeze", US_national_yearly!$D:$AM, 10, FALSE), 1)</f>
        <v>1.3159196178053835E-2</v>
      </c>
      <c r="G8" s="7">
        <f>$B8 * IFERROR(VLOOKUP("transport|PM25|Asthma symptoms wheeze", US_national_yearly!$D:$AM, 15, FALSE) / VLOOKUP("transport|PM25|Asthma symptoms wheeze", US_national_yearly!$D:$AM, 10, FALSE), 1)</f>
        <v>1.3159196178053835E-2</v>
      </c>
      <c r="H8" s="7">
        <f>$B8 * IFERROR(VLOOKUP("transport|PM25|Asthma symptoms wheeze", US_national_yearly!$D:$AM, 16, FALSE) / VLOOKUP("transport|PM25|Asthma symptoms wheeze", US_national_yearly!$D:$AM, 10, FALSE), 1)</f>
        <v>1.3159196178053835E-2</v>
      </c>
      <c r="I8" s="7">
        <f>$B8 * IFERROR(VLOOKUP("transport|PM25|Asthma symptoms wheeze", US_national_yearly!$D:$AM, 17, FALSE) / VLOOKUP("transport|PM25|Asthma symptoms wheeze", US_national_yearly!$D:$AM, 10, FALSE), 1)</f>
        <v>1.3159196178053835E-2</v>
      </c>
      <c r="J8" s="7">
        <f>$B8 * IFERROR(VLOOKUP("transport|PM25|Asthma symptoms wheeze", US_national_yearly!$D:$AM, 18, FALSE) / VLOOKUP("transport|PM25|Asthma symptoms wheeze", US_national_yearly!$D:$AM, 10, FALSE), 1)</f>
        <v>1.3159196178053835E-2</v>
      </c>
      <c r="K8" s="7">
        <f>$B8 * IFERROR(VLOOKUP("transport|PM25|Asthma symptoms wheeze", US_national_yearly!$D:$AM, 19, FALSE) / VLOOKUP("transport|PM25|Asthma symptoms wheeze", US_national_yearly!$D:$AM, 10, FALSE), 1)</f>
        <v>1.3159196178053835E-2</v>
      </c>
      <c r="L8" s="7">
        <f>$B8 * IFERROR(VLOOKUP("transport|PM25|Asthma symptoms wheeze", US_national_yearly!$D:$AM, 20, FALSE) / VLOOKUP("transport|PM25|Asthma symptoms wheeze", US_national_yearly!$D:$AM, 10, FALSE), 1)</f>
        <v>1.3159196178053835E-2</v>
      </c>
      <c r="M8" s="7">
        <f>$B8 * IFERROR(VLOOKUP("transport|PM25|Asthma symptoms wheeze", US_national_yearly!$D:$AM, 21, FALSE) / VLOOKUP("transport|PM25|Asthma symptoms wheeze", US_national_yearly!$D:$AM, 10, FALSE), 1)</f>
        <v>1.3159196178053835E-2</v>
      </c>
      <c r="N8" s="7">
        <f>$B8 * IFERROR(VLOOKUP("transport|PM25|Asthma symptoms wheeze", US_national_yearly!$D:$AM, 22, FALSE) / VLOOKUP("transport|PM25|Asthma symptoms wheeze", US_national_yearly!$D:$AM, 10, FALSE), 1)</f>
        <v>1.3159196178053835E-2</v>
      </c>
      <c r="O8" s="7">
        <f>$B8 * IFERROR(VLOOKUP("transport|PM25|Asthma symptoms wheeze", US_national_yearly!$D:$AM, 23, FALSE) / VLOOKUP("transport|PM25|Asthma symptoms wheeze", US_national_yearly!$D:$AM, 10, FALSE), 1)</f>
        <v>1.3159196178053835E-2</v>
      </c>
      <c r="P8" s="7">
        <f>$B8 * IFERROR(VLOOKUP("transport|PM25|Asthma symptoms wheeze", US_national_yearly!$D:$AM, 24, FALSE) / VLOOKUP("transport|PM25|Asthma symptoms wheeze", US_national_yearly!$D:$AM, 10, FALSE), 1)</f>
        <v>1.3159196178053835E-2</v>
      </c>
      <c r="Q8" s="7">
        <f>$B8 * IFERROR(VLOOKUP("transport|PM25|Asthma symptoms wheeze", US_national_yearly!$D:$AM, 25, FALSE) / VLOOKUP("transport|PM25|Asthma symptoms wheeze", US_national_yearly!$D:$AM, 10, FALSE), 1)</f>
        <v>1.3159196178053835E-2</v>
      </c>
      <c r="R8" s="7">
        <f>$B8 * IFERROR(VLOOKUP("transport|PM25|Asthma symptoms wheeze", US_national_yearly!$D:$AM, 26, FALSE) / VLOOKUP("transport|PM25|Asthma symptoms wheeze", US_national_yearly!$D:$AM, 10, FALSE), 1)</f>
        <v>1.3159196178053835E-2</v>
      </c>
      <c r="S8" s="7">
        <f>$B8 * IFERROR(VLOOKUP("transport|PM25|Asthma symptoms wheeze", US_national_yearly!$D:$AM, 27, FALSE) / VLOOKUP("transport|PM25|Asthma symptoms wheeze", US_national_yearly!$D:$AM, 10, FALSE), 1)</f>
        <v>1.3159196178053835E-2</v>
      </c>
      <c r="T8" s="7">
        <f>$B8 * IFERROR(VLOOKUP("transport|PM25|Asthma symptoms wheeze", US_national_yearly!$D:$AM, 28, FALSE) / VLOOKUP("transport|PM25|Asthma symptoms wheeze", US_national_yearly!$D:$AM, 10, FALSE), 1)</f>
        <v>1.3159196178053835E-2</v>
      </c>
      <c r="U8" s="7">
        <f>$B8 * IFERROR(VLOOKUP("transport|PM25|Asthma symptoms wheeze", US_national_yearly!$D:$AM, 29, FALSE) / VLOOKUP("transport|PM25|Asthma symptoms wheeze", US_national_yearly!$D:$AM, 10, FALSE), 1)</f>
        <v>1.3159196178053835E-2</v>
      </c>
      <c r="V8" s="7">
        <f>$B8 * IFERROR(VLOOKUP("transport|PM25|Asthma symptoms wheeze", US_national_yearly!$D:$AM, 30, FALSE) / VLOOKUP("transport|PM25|Asthma symptoms wheeze", US_national_yearly!$D:$AM, 10, FALSE), 1)</f>
        <v>1.3159196178053835E-2</v>
      </c>
      <c r="W8" s="7">
        <f>$B8 * IFERROR(VLOOKUP("transport|PM25|Asthma symptoms wheeze", US_national_yearly!$D:$AM, 31, FALSE) / VLOOKUP("transport|PM25|Asthma symptoms wheeze", US_national_yearly!$D:$AM, 10, FALSE), 1)</f>
        <v>1.3159196178053835E-2</v>
      </c>
      <c r="X8" s="7">
        <f>$B8 * IFERROR(VLOOKUP("transport|PM25|Asthma symptoms wheeze", US_national_yearly!$D:$AM, 32, FALSE) / VLOOKUP("transport|PM25|Asthma symptoms wheeze", US_national_yearly!$D:$AM, 10, FALSE), 1)</f>
        <v>1.3159196178053835E-2</v>
      </c>
      <c r="Y8" s="7">
        <f>$B8 * IFERROR(VLOOKUP("transport|PM25|Asthma symptoms wheeze", US_national_yearly!$D:$AM, 33, FALSE) / VLOOKUP("transport|PM25|Asthma symptoms wheeze", US_national_yearly!$D:$AM, 10, FALSE), 1)</f>
        <v>1.3159196178053835E-2</v>
      </c>
      <c r="Z8" s="7">
        <f>$B8 * IFERROR(VLOOKUP("transport|PM25|Asthma symptoms wheeze", US_national_yearly!$D:$AM, 34, FALSE) / VLOOKUP("transport|PM25|Asthma symptoms wheeze", US_national_yearly!$D:$AM, 10, FALSE), 1)</f>
        <v>1.3159196178053835E-2</v>
      </c>
      <c r="AA8" s="7">
        <f>$B8 * IFERROR(VLOOKUP("transport|PM25|Asthma symptoms wheeze", US_national_yearly!$D:$AM, 35, FALSE) / VLOOKUP("transport|PM25|Asthma symptoms wheeze", US_national_yearly!$D:$AM, 10, FALSE), 1)</f>
        <v>1.3159196178053835E-2</v>
      </c>
      <c r="AB8" s="7">
        <f>$B8 * IFERROR(VLOOKUP("transport|PM25|Asthma symptoms wheeze", US_national_yearly!$D:$AM, 36, FALSE) / VLOOKUP("transport|PM25|Asthma symptoms wheeze", US_national_yearly!$D:$AM, 10, FALSE), 1)</f>
        <v>1.3159196178053835E-2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1.7021083739467358E-4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1.7118641730995846E-4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1.7216199722524329E-4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1.7313757714052818E-4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1.7411315705581303E-4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1.7516682497795093E-4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1.7622049290008882E-4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1.7722723256714674E-4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1.7823397223420474E-4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1.7924071190126268E-4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1.8024745156832068E-4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1.812541912353786E-4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1.8197675767293094E-4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1.8269932411048325E-4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1.8342189054803551E-4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1.8414445698558782E-4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1.8486702342314015E-4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1.8555500188273044E-4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1.8624298034232073E-4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1.8693095880191102E-4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1.8761893726150131E-4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1.8830691572109157E-4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1.8896875977518775E-4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1.8963060382928384E-4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1.9029244788337996E-4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1.9095429193747605E-4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1.9161613599157217E-4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9.3659655315276712E-4</v>
      </c>
      <c r="C13" s="7">
        <f>$B13 * IFERROR(VLOOKUP("transport|PM25|Non-fatal heart attacks", US_national_yearly!$D:$AM, 11, FALSE) / VLOOKUP("transport|PM25|Non-fatal heart attacks", US_national_yearly!$D:$AM, 10, FALSE), 1)</f>
        <v>9.6382590039571141E-4</v>
      </c>
      <c r="D13" s="7">
        <f>$B13 * IFERROR(VLOOKUP("transport|PM25|Non-fatal heart attacks", US_national_yearly!$D:$AM, 12, FALSE) / VLOOKUP("transport|PM25|Non-fatal heart attacks", US_national_yearly!$D:$AM, 10, FALSE), 1)</f>
        <v>9.9105524763865569E-4</v>
      </c>
      <c r="E13" s="7">
        <f>$B13 * IFERROR(VLOOKUP("transport|PM25|Non-fatal heart attacks", US_national_yearly!$D:$AM, 13, FALSE) / VLOOKUP("transport|PM25|Non-fatal heart attacks", US_national_yearly!$D:$AM, 10, FALSE), 1)</f>
        <v>1.0182845948815997E-3</v>
      </c>
      <c r="F13" s="7">
        <f>$B13 * IFERROR(VLOOKUP("transport|PM25|Non-fatal heart attacks", US_national_yearly!$D:$AM, 14, FALSE) / VLOOKUP("transport|PM25|Non-fatal heart attacks", US_national_yearly!$D:$AM, 10, FALSE), 1)</f>
        <v>1.045513942124544E-3</v>
      </c>
      <c r="G13" s="7">
        <f>$B13 * IFERROR(VLOOKUP("transport|PM25|Non-fatal heart attacks", US_national_yearly!$D:$AM, 15, FALSE) / VLOOKUP("transport|PM25|Non-fatal heart attacks", US_national_yearly!$D:$AM, 10, FALSE), 1)</f>
        <v>1.0711929379806002E-3</v>
      </c>
      <c r="H13" s="7">
        <f>$B13 * IFERROR(VLOOKUP("transport|PM25|Non-fatal heart attacks", US_national_yearly!$D:$AM, 16, FALSE) / VLOOKUP("transport|PM25|Non-fatal heart attacks", US_national_yearly!$D:$AM, 10, FALSE), 1)</f>
        <v>1.0968719338366559E-3</v>
      </c>
      <c r="I13" s="7">
        <f>$B13 * IFERROR(VLOOKUP("transport|PM25|Non-fatal heart attacks", US_national_yearly!$D:$AM, 17, FALSE) / VLOOKUP("transport|PM25|Non-fatal heart attacks", US_national_yearly!$D:$AM, 10, FALSE), 1)</f>
        <v>1.1175093016905153E-3</v>
      </c>
      <c r="J13" s="7">
        <f>$B13 * IFERROR(VLOOKUP("transport|PM25|Non-fatal heart attacks", US_national_yearly!$D:$AM, 18, FALSE) / VLOOKUP("transport|PM25|Non-fatal heart attacks", US_national_yearly!$D:$AM, 10, FALSE), 1)</f>
        <v>1.1381466695443744E-3</v>
      </c>
      <c r="K13" s="7">
        <f>$B13 * IFERROR(VLOOKUP("transport|PM25|Non-fatal heart attacks", US_national_yearly!$D:$AM, 19, FALSE) / VLOOKUP("transport|PM25|Non-fatal heart attacks", US_national_yearly!$D:$AM, 10, FALSE), 1)</f>
        <v>1.158784037398234E-3</v>
      </c>
      <c r="L13" s="7">
        <f>$B13 * IFERROR(VLOOKUP("transport|PM25|Non-fatal heart attacks", US_national_yearly!$D:$AM, 20, FALSE) / VLOOKUP("transport|PM25|Non-fatal heart attacks", US_national_yearly!$D:$AM, 10, FALSE), 1)</f>
        <v>1.1794214052520933E-3</v>
      </c>
      <c r="M13" s="7">
        <f>$B13 * IFERROR(VLOOKUP("transport|PM25|Non-fatal heart attacks", US_national_yearly!$D:$AM, 21, FALSE) / VLOOKUP("transport|PM25|Non-fatal heart attacks", US_national_yearly!$D:$AM, 10, FALSE), 1)</f>
        <v>1.2000587731059527E-3</v>
      </c>
      <c r="N13" s="7">
        <f>$B13 * IFERROR(VLOOKUP("transport|PM25|Non-fatal heart attacks", US_national_yearly!$D:$AM, 22, FALSE) / VLOOKUP("transport|PM25|Non-fatal heart attacks", US_national_yearly!$D:$AM, 10, FALSE), 1)</f>
        <v>1.2133678375249039E-3</v>
      </c>
      <c r="O13" s="7">
        <f>$B13 * IFERROR(VLOOKUP("transport|PM25|Non-fatal heart attacks", US_national_yearly!$D:$AM, 23, FALSE) / VLOOKUP("transport|PM25|Non-fatal heart attacks", US_national_yearly!$D:$AM, 10, FALSE), 1)</f>
        <v>1.2266769019438554E-3</v>
      </c>
      <c r="P13" s="7">
        <f>$B13 * IFERROR(VLOOKUP("transport|PM25|Non-fatal heart attacks", US_national_yearly!$D:$AM, 24, FALSE) / VLOOKUP("transport|PM25|Non-fatal heart attacks", US_national_yearly!$D:$AM, 10, FALSE), 1)</f>
        <v>1.2399859663628069E-3</v>
      </c>
      <c r="Q13" s="7">
        <f>$B13 * IFERROR(VLOOKUP("transport|PM25|Non-fatal heart attacks", US_national_yearly!$D:$AM, 25, FALSE) / VLOOKUP("transport|PM25|Non-fatal heart attacks", US_national_yearly!$D:$AM, 10, FALSE), 1)</f>
        <v>1.2532950307817582E-3</v>
      </c>
      <c r="R13" s="7">
        <f>$B13 * IFERROR(VLOOKUP("transport|PM25|Non-fatal heart attacks", US_national_yearly!$D:$AM, 26, FALSE) / VLOOKUP("transport|PM25|Non-fatal heart attacks", US_national_yearly!$D:$AM, 10, FALSE), 1)</f>
        <v>1.2666040952007097E-3</v>
      </c>
      <c r="S13" s="7">
        <f>$B13 * IFERROR(VLOOKUP("transport|PM25|Non-fatal heart attacks", US_national_yearly!$D:$AM, 27, FALSE) / VLOOKUP("transport|PM25|Non-fatal heart attacks", US_national_yearly!$D:$AM, 10, FALSE), 1)</f>
        <v>1.273613028760798E-3</v>
      </c>
      <c r="T13" s="7">
        <f>$B13 * IFERROR(VLOOKUP("transport|PM25|Non-fatal heart attacks", US_national_yearly!$D:$AM, 28, FALSE) / VLOOKUP("transport|PM25|Non-fatal heart attacks", US_national_yearly!$D:$AM, 10, FALSE), 1)</f>
        <v>1.2806219623208866E-3</v>
      </c>
      <c r="U13" s="7">
        <f>$B13 * IFERROR(VLOOKUP("transport|PM25|Non-fatal heart attacks", US_national_yearly!$D:$AM, 29, FALSE) / VLOOKUP("transport|PM25|Non-fatal heart attacks", US_national_yearly!$D:$AM, 10, FALSE), 1)</f>
        <v>1.2876308958809754E-3</v>
      </c>
      <c r="V13" s="7">
        <f>$B13 * IFERROR(VLOOKUP("transport|PM25|Non-fatal heart attacks", US_national_yearly!$D:$AM, 30, FALSE) / VLOOKUP("transport|PM25|Non-fatal heart attacks", US_national_yearly!$D:$AM, 10, FALSE), 1)</f>
        <v>1.294639829441064E-3</v>
      </c>
      <c r="W13" s="7">
        <f>$B13 * IFERROR(VLOOKUP("transport|PM25|Non-fatal heart attacks", US_national_yearly!$D:$AM, 31, FALSE) / VLOOKUP("transport|PM25|Non-fatal heart attacks", US_national_yearly!$D:$AM, 10, FALSE), 1)</f>
        <v>1.3016487630011526E-3</v>
      </c>
      <c r="X13" s="7">
        <f>$B13 * IFERROR(VLOOKUP("transport|PM25|Non-fatal heart attacks", US_national_yearly!$D:$AM, 32, FALSE) / VLOOKUP("transport|PM25|Non-fatal heart attacks", US_national_yearly!$D:$AM, 10, FALSE), 1)</f>
        <v>1.3069695570442235E-3</v>
      </c>
      <c r="Y13" s="7">
        <f>$B13 * IFERROR(VLOOKUP("transport|PM25|Non-fatal heart attacks", US_national_yearly!$D:$AM, 33, FALSE) / VLOOKUP("transport|PM25|Non-fatal heart attacks", US_national_yearly!$D:$AM, 10, FALSE), 1)</f>
        <v>1.3122903510872949E-3</v>
      </c>
      <c r="Z13" s="7">
        <f>$B13 * IFERROR(VLOOKUP("transport|PM25|Non-fatal heart attacks", US_national_yearly!$D:$AM, 34, FALSE) / VLOOKUP("transport|PM25|Non-fatal heart attacks", US_national_yearly!$D:$AM, 10, FALSE), 1)</f>
        <v>1.3176111451303661E-3</v>
      </c>
      <c r="AA13" s="7">
        <f>$B13 * IFERROR(VLOOKUP("transport|PM25|Non-fatal heart attacks", US_national_yearly!$D:$AM, 35, FALSE) / VLOOKUP("transport|PM25|Non-fatal heart attacks", US_national_yearly!$D:$AM, 10, FALSE), 1)</f>
        <v>1.3229319391734374E-3</v>
      </c>
      <c r="AB13" s="7">
        <f>$B13 * IFERROR(VLOOKUP("transport|PM25|Non-fatal heart attacks", US_national_yearly!$D:$AM, 36, FALSE) / VLOOKUP("transport|PM25|Non-fatal heart attacks", US_national_yearly!$D:$AM, 10, FALSE), 1)</f>
        <v>1.3282527332165086E-3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0.67278558772256658</v>
      </c>
      <c r="C14" s="7">
        <f>$B14 * IFERROR(VLOOKUP("transport|PM25|Minor restricted activity days", US_national_yearly!$D:$AM, 11, FALSE) / VLOOKUP("transport|PM25|Minor restricted activity days", US_national_yearly!$D:$AM, 10, FALSE), 1)</f>
        <v>0.67442860991402254</v>
      </c>
      <c r="D14" s="7">
        <f>$B14 * IFERROR(VLOOKUP("transport|PM25|Minor restricted activity days", US_national_yearly!$D:$AM, 12, FALSE) / VLOOKUP("transport|PM25|Minor restricted activity days", US_national_yearly!$D:$AM, 10, FALSE), 1)</f>
        <v>0.6760716321054786</v>
      </c>
      <c r="E14" s="7">
        <f>$B14 * IFERROR(VLOOKUP("transport|PM25|Minor restricted activity days", US_national_yearly!$D:$AM, 13, FALSE) / VLOOKUP("transport|PM25|Minor restricted activity days", US_national_yearly!$D:$AM, 10, FALSE), 1)</f>
        <v>0.67771465429693467</v>
      </c>
      <c r="F14" s="7">
        <f>$B14 * IFERROR(VLOOKUP("transport|PM25|Minor restricted activity days", US_national_yearly!$D:$AM, 14, FALSE) / VLOOKUP("transport|PM25|Minor restricted activity days", US_national_yearly!$D:$AM, 10, FALSE), 1)</f>
        <v>0.67935767648839052</v>
      </c>
      <c r="G14" s="7">
        <f>$B14 * IFERROR(VLOOKUP("transport|PM25|Minor restricted activity days", US_national_yearly!$D:$AM, 15, FALSE) / VLOOKUP("transport|PM25|Minor restricted activity days", US_national_yearly!$D:$AM, 10, FALSE), 1)</f>
        <v>0.68178190656049076</v>
      </c>
      <c r="H14" s="7">
        <f>$B14 * IFERROR(VLOOKUP("transport|PM25|Minor restricted activity days", US_national_yearly!$D:$AM, 16, FALSE) / VLOOKUP("transport|PM25|Minor restricted activity days", US_national_yearly!$D:$AM, 10, FALSE), 1)</f>
        <v>0.684206136632591</v>
      </c>
      <c r="I14" s="7">
        <f>$B14 * IFERROR(VLOOKUP("transport|PM25|Minor restricted activity days", US_national_yearly!$D:$AM, 17, FALSE) / VLOOKUP("transport|PM25|Minor restricted activity days", US_national_yearly!$D:$AM, 10, FALSE), 1)</f>
        <v>0.68835045993021937</v>
      </c>
      <c r="J14" s="7">
        <f>$B14 * IFERROR(VLOOKUP("transport|PM25|Minor restricted activity days", US_national_yearly!$D:$AM, 18, FALSE) / VLOOKUP("transport|PM25|Minor restricted activity days", US_national_yearly!$D:$AM, 10, FALSE), 1)</f>
        <v>0.69249478322784741</v>
      </c>
      <c r="K14" s="7">
        <f>$B14 * IFERROR(VLOOKUP("transport|PM25|Minor restricted activity days", US_national_yearly!$D:$AM, 19, FALSE) / VLOOKUP("transport|PM25|Minor restricted activity days", US_national_yearly!$D:$AM, 10, FALSE), 1)</f>
        <v>0.69663910652547589</v>
      </c>
      <c r="L14" s="7">
        <f>$B14 * IFERROR(VLOOKUP("transport|PM25|Minor restricted activity days", US_national_yearly!$D:$AM, 20, FALSE) / VLOOKUP("transport|PM25|Minor restricted activity days", US_national_yearly!$D:$AM, 10, FALSE), 1)</f>
        <v>0.70078342982310404</v>
      </c>
      <c r="M14" s="7">
        <f>$B14 * IFERROR(VLOOKUP("transport|PM25|Minor restricted activity days", US_national_yearly!$D:$AM, 21, FALSE) / VLOOKUP("transport|PM25|Minor restricted activity days", US_national_yearly!$D:$AM, 10, FALSE), 1)</f>
        <v>0.7049277531207323</v>
      </c>
      <c r="N14" s="7">
        <f>$B14 * IFERROR(VLOOKUP("transport|PM25|Minor restricted activity days", US_national_yearly!$D:$AM, 22, FALSE) / VLOOKUP("transport|PM25|Minor restricted activity days", US_national_yearly!$D:$AM, 10, FALSE), 1)</f>
        <v>0.71057314658540316</v>
      </c>
      <c r="O14" s="7">
        <f>$B14 * IFERROR(VLOOKUP("transport|PM25|Minor restricted activity days", US_national_yearly!$D:$AM, 23, FALSE) / VLOOKUP("transport|PM25|Minor restricted activity days", US_national_yearly!$D:$AM, 10, FALSE), 1)</f>
        <v>0.7162185400500739</v>
      </c>
      <c r="P14" s="7">
        <f>$B14 * IFERROR(VLOOKUP("transport|PM25|Minor restricted activity days", US_national_yearly!$D:$AM, 24, FALSE) / VLOOKUP("transport|PM25|Minor restricted activity days", US_national_yearly!$D:$AM, 10, FALSE), 1)</f>
        <v>0.72186393351474476</v>
      </c>
      <c r="Q14" s="7">
        <f>$B14 * IFERROR(VLOOKUP("transport|PM25|Minor restricted activity days", US_national_yearly!$D:$AM, 25, FALSE) / VLOOKUP("transport|PM25|Minor restricted activity days", US_national_yearly!$D:$AM, 10, FALSE), 1)</f>
        <v>0.72750932697941539</v>
      </c>
      <c r="R14" s="7">
        <f>$B14 * IFERROR(VLOOKUP("transport|PM25|Minor restricted activity days", US_national_yearly!$D:$AM, 26, FALSE) / VLOOKUP("transport|PM25|Minor restricted activity days", US_national_yearly!$D:$AM, 10, FALSE), 1)</f>
        <v>0.73315472044408614</v>
      </c>
      <c r="S14" s="7">
        <f>$B14 * IFERROR(VLOOKUP("transport|PM25|Minor restricted activity days", US_national_yearly!$D:$AM, 27, FALSE) / VLOOKUP("transport|PM25|Minor restricted activity days", US_national_yearly!$D:$AM, 10, FALSE), 1)</f>
        <v>0.73883899188366897</v>
      </c>
      <c r="T14" s="7">
        <f>$B14 * IFERROR(VLOOKUP("transport|PM25|Minor restricted activity days", US_national_yearly!$D:$AM, 28, FALSE) / VLOOKUP("transport|PM25|Minor restricted activity days", US_national_yearly!$D:$AM, 10, FALSE), 1)</f>
        <v>0.7445232633232518</v>
      </c>
      <c r="U14" s="7">
        <f>$B14 * IFERROR(VLOOKUP("transport|PM25|Minor restricted activity days", US_national_yearly!$D:$AM, 29, FALSE) / VLOOKUP("transport|PM25|Minor restricted activity days", US_national_yearly!$D:$AM, 10, FALSE), 1)</f>
        <v>0.75020753476283464</v>
      </c>
      <c r="V14" s="7">
        <f>$B14 * IFERROR(VLOOKUP("transport|PM25|Minor restricted activity days", US_national_yearly!$D:$AM, 30, FALSE) / VLOOKUP("transport|PM25|Minor restricted activity days", US_national_yearly!$D:$AM, 10, FALSE), 1)</f>
        <v>0.75589180620241747</v>
      </c>
      <c r="W14" s="7">
        <f>$B14 * IFERROR(VLOOKUP("transport|PM25|Minor restricted activity days", US_national_yearly!$D:$AM, 31, FALSE) / VLOOKUP("transport|PM25|Minor restricted activity days", US_national_yearly!$D:$AM, 10, FALSE), 1)</f>
        <v>0.7615760776420003</v>
      </c>
      <c r="X14" s="7">
        <f>$B14 * IFERROR(VLOOKUP("transport|PM25|Minor restricted activity days", US_national_yearly!$D:$AM, 32, FALSE) / VLOOKUP("transport|PM25|Minor restricted activity days", US_national_yearly!$D:$AM, 10, FALSE), 1)</f>
        <v>0.76651059710014513</v>
      </c>
      <c r="Y14" s="7">
        <f>$B14 * IFERROR(VLOOKUP("transport|PM25|Minor restricted activity days", US_national_yearly!$D:$AM, 33, FALSE) / VLOOKUP("transport|PM25|Minor restricted activity days", US_national_yearly!$D:$AM, 10, FALSE), 1)</f>
        <v>0.77144511655828985</v>
      </c>
      <c r="Z14" s="7">
        <f>$B14 * IFERROR(VLOOKUP("transport|PM25|Minor restricted activity days", US_national_yearly!$D:$AM, 34, FALSE) / VLOOKUP("transport|PM25|Minor restricted activity days", US_national_yearly!$D:$AM, 10, FALSE), 1)</f>
        <v>0.77637963601643467</v>
      </c>
      <c r="AA14" s="7">
        <f>$B14 * IFERROR(VLOOKUP("transport|PM25|Minor restricted activity days", US_national_yearly!$D:$AM, 35, FALSE) / VLOOKUP("transport|PM25|Minor restricted activity days", US_national_yearly!$D:$AM, 10, FALSE), 1)</f>
        <v>0.78131415547457939</v>
      </c>
      <c r="AB14" s="7">
        <f>$B14 * IFERROR(VLOOKUP("transport|PM25|Minor restricted activity days", US_national_yearly!$D:$AM, 36, FALSE) / VLOOKUP("transport|PM25|Minor restricted activity days", US_national_yearly!$D:$AM, 10, FALSE), 1)</f>
        <v>0.78624867493272421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0.11428126428750204</v>
      </c>
      <c r="C15" s="7">
        <f>$B15 * IFERROR(VLOOKUP("transport|PM25|Work loss days", US_national_yearly!$D:$AM, 11, FALSE) / VLOOKUP("transport|PM25|Work loss days", US_national_yearly!$D:$AM, 10, FALSE), 1)</f>
        <v>0.11463549504601946</v>
      </c>
      <c r="D15" s="7">
        <f>$B15 * IFERROR(VLOOKUP("transport|PM25|Work loss days", US_national_yearly!$D:$AM, 12, FALSE) / VLOOKUP("transport|PM25|Work loss days", US_national_yearly!$D:$AM, 10, FALSE), 1)</f>
        <v>0.11498972580453688</v>
      </c>
      <c r="E15" s="7">
        <f>$B15 * IFERROR(VLOOKUP("transport|PM25|Work loss days", US_national_yearly!$D:$AM, 13, FALSE) / VLOOKUP("transport|PM25|Work loss days", US_national_yearly!$D:$AM, 10, FALSE), 1)</f>
        <v>0.1153439565630543</v>
      </c>
      <c r="F15" s="7">
        <f>$B15 * IFERROR(VLOOKUP("transport|PM25|Work loss days", US_national_yearly!$D:$AM, 14, FALSE) / VLOOKUP("transport|PM25|Work loss days", US_national_yearly!$D:$AM, 10, FALSE), 1)</f>
        <v>0.11569818732157171</v>
      </c>
      <c r="G15" s="7">
        <f>$B15 * IFERROR(VLOOKUP("transport|PM25|Work loss days", US_national_yearly!$D:$AM, 15, FALSE) / VLOOKUP("transport|PM25|Work loss days", US_national_yearly!$D:$AM, 10, FALSE), 1)</f>
        <v>0.11616260644979247</v>
      </c>
      <c r="H15" s="7">
        <f>$B15 * IFERROR(VLOOKUP("transport|PM25|Work loss days", US_national_yearly!$D:$AM, 16, FALSE) / VLOOKUP("transport|PM25|Work loss days", US_national_yearly!$D:$AM, 10, FALSE), 1)</f>
        <v>0.11662702557801327</v>
      </c>
      <c r="I15" s="7">
        <f>$B15 * IFERROR(VLOOKUP("transport|PM25|Work loss days", US_national_yearly!$D:$AM, 17, FALSE) / VLOOKUP("transport|PM25|Work loss days", US_national_yearly!$D:$AM, 10, FALSE), 1)</f>
        <v>0.1173109338234134</v>
      </c>
      <c r="J15" s="7">
        <f>$B15 * IFERROR(VLOOKUP("transport|PM25|Work loss days", US_national_yearly!$D:$AM, 18, FALSE) / VLOOKUP("transport|PM25|Work loss days", US_national_yearly!$D:$AM, 10, FALSE), 1)</f>
        <v>0.11799484206881353</v>
      </c>
      <c r="K15" s="7">
        <f>$B15 * IFERROR(VLOOKUP("transport|PM25|Work loss days", US_national_yearly!$D:$AM, 19, FALSE) / VLOOKUP("transport|PM25|Work loss days", US_national_yearly!$D:$AM, 10, FALSE), 1)</f>
        <v>0.11867875031421365</v>
      </c>
      <c r="L15" s="7">
        <f>$B15 * IFERROR(VLOOKUP("transport|PM25|Work loss days", US_national_yearly!$D:$AM, 20, FALSE) / VLOOKUP("transport|PM25|Work loss days", US_national_yearly!$D:$AM, 10, FALSE), 1)</f>
        <v>0.1193626585596138</v>
      </c>
      <c r="M15" s="7">
        <f>$B15 * IFERROR(VLOOKUP("transport|PM25|Work loss days", US_national_yearly!$D:$AM, 21, FALSE) / VLOOKUP("transport|PM25|Work loss days", US_national_yearly!$D:$AM, 10, FALSE), 1)</f>
        <v>0.12004656680501392</v>
      </c>
      <c r="N15" s="7">
        <f>$B15 * IFERROR(VLOOKUP("transport|PM25|Work loss days", US_national_yearly!$D:$AM, 22, FALSE) / VLOOKUP("transport|PM25|Work loss days", US_national_yearly!$D:$AM, 10, FALSE), 1)</f>
        <v>0.12090731709604513</v>
      </c>
      <c r="O15" s="7">
        <f>$B15 * IFERROR(VLOOKUP("transport|PM25|Work loss days", US_national_yearly!$D:$AM, 23, FALSE) / VLOOKUP("transport|PM25|Work loss days", US_national_yearly!$D:$AM, 10, FALSE), 1)</f>
        <v>0.12176806738707631</v>
      </c>
      <c r="P15" s="7">
        <f>$B15 * IFERROR(VLOOKUP("transport|PM25|Work loss days", US_national_yearly!$D:$AM, 24, FALSE) / VLOOKUP("transport|PM25|Work loss days", US_national_yearly!$D:$AM, 10, FALSE), 1)</f>
        <v>0.12262881767810752</v>
      </c>
      <c r="Q15" s="7">
        <f>$B15 * IFERROR(VLOOKUP("transport|PM25|Work loss days", US_national_yearly!$D:$AM, 25, FALSE) / VLOOKUP("transport|PM25|Work loss days", US_national_yearly!$D:$AM, 10, FALSE), 1)</f>
        <v>0.12348956796913871</v>
      </c>
      <c r="R15" s="7">
        <f>$B15 * IFERROR(VLOOKUP("transport|PM25|Work loss days", US_national_yearly!$D:$AM, 26, FALSE) / VLOOKUP("transport|PM25|Work loss days", US_national_yearly!$D:$AM, 10, FALSE), 1)</f>
        <v>0.12435031826016991</v>
      </c>
      <c r="S15" s="7">
        <f>$B15 * IFERROR(VLOOKUP("transport|PM25|Work loss days", US_national_yearly!$D:$AM, 27, FALSE) / VLOOKUP("transport|PM25|Work loss days", US_national_yearly!$D:$AM, 10, FALSE), 1)</f>
        <v>0.12530234483045258</v>
      </c>
      <c r="T15" s="7">
        <f>$B15 * IFERROR(VLOOKUP("transport|PM25|Work loss days", US_national_yearly!$D:$AM, 28, FALSE) / VLOOKUP("transport|PM25|Work loss days", US_national_yearly!$D:$AM, 10, FALSE), 1)</f>
        <v>0.12625437140073528</v>
      </c>
      <c r="U15" s="7">
        <f>$B15 * IFERROR(VLOOKUP("transport|PM25|Work loss days", US_national_yearly!$D:$AM, 29, FALSE) / VLOOKUP("transport|PM25|Work loss days", US_national_yearly!$D:$AM, 10, FALSE), 1)</f>
        <v>0.12720639797101796</v>
      </c>
      <c r="V15" s="7">
        <f>$B15 * IFERROR(VLOOKUP("transport|PM25|Work loss days", US_national_yearly!$D:$AM, 30, FALSE) / VLOOKUP("transport|PM25|Work loss days", US_national_yearly!$D:$AM, 10, FALSE), 1)</f>
        <v>0.12815842454130066</v>
      </c>
      <c r="W15" s="7">
        <f>$B15 * IFERROR(VLOOKUP("transport|PM25|Work loss days", US_national_yearly!$D:$AM, 31, FALSE) / VLOOKUP("transport|PM25|Work loss days", US_national_yearly!$D:$AM, 10, FALSE), 1)</f>
        <v>0.12911045111158334</v>
      </c>
      <c r="X15" s="7">
        <f>$B15 * IFERROR(VLOOKUP("transport|PM25|Work loss days", US_national_yearly!$D:$AM, 32, FALSE) / VLOOKUP("transport|PM25|Work loss days", US_national_yearly!$D:$AM, 10, FALSE), 1)</f>
        <v>0.12995515544443867</v>
      </c>
      <c r="Y15" s="7">
        <f>$B15 * IFERROR(VLOOKUP("transport|PM25|Work loss days", US_national_yearly!$D:$AM, 33, FALSE) / VLOOKUP("transport|PM25|Work loss days", US_national_yearly!$D:$AM, 10, FALSE), 1)</f>
        <v>0.13079985977729403</v>
      </c>
      <c r="Z15" s="7">
        <f>$B15 * IFERROR(VLOOKUP("transport|PM25|Work loss days", US_national_yearly!$D:$AM, 34, FALSE) / VLOOKUP("transport|PM25|Work loss days", US_national_yearly!$D:$AM, 10, FALSE), 1)</f>
        <v>0.13164456411014941</v>
      </c>
      <c r="AA15" s="7">
        <f>$B15 * IFERROR(VLOOKUP("transport|PM25|Work loss days", US_national_yearly!$D:$AM, 35, FALSE) / VLOOKUP("transport|PM25|Work loss days", US_national_yearly!$D:$AM, 10, FALSE), 1)</f>
        <v>0.13248926844300479</v>
      </c>
      <c r="AB15" s="7">
        <f>$B15 * IFERROR(VLOOKUP("transport|PM25|Work loss days", US_national_yearly!$D:$AM, 36, FALSE) / VLOOKUP("transport|PM25|Work loss days", US_national_yearly!$D:$AM, 10, FALSE), 1)</f>
        <v>0.13333397277586015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1.8328717566011191E-4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1.8876392427807315E-4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1.9424067289603445E-4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1.9971742151399574E-4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2.0519417013195704E-4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2.1043991701415491E-4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2.156856638963529E-4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2.2017211463305758E-4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2.2465856536976219E-4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2.2914501610646682E-4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2.3363146684317153E-4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2.3811791757987616E-4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2.4110913671768851E-4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2.4410035585550085E-4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2.4709157499331317E-4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2.5008279413112555E-4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2.5307401326893787E-4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2.5465664745625617E-4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2.5623928164357441E-4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2.5782191583089261E-4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2.5940455001821085E-4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2.6098718420552915E-4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2.6205263435835461E-4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2.6311808451118007E-4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2.6418353466400553E-4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2.65248984816831E-4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2.6631443496965646E-4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8.2973522629634224E-5</v>
      </c>
      <c r="C2" s="7">
        <f>$B2 * IFERROR(VLOOKUP("transport|NOx|Premature mortality", US_national_yearly!$D:$AM, 11, FALSE) / VLOOKUP("transport|NOx|Premature mortality", US_national_yearly!$D:$AM, 10, FALSE), 1)</f>
        <v>8.4192263430795376E-5</v>
      </c>
      <c r="D2" s="7">
        <f>$B2 * IFERROR(VLOOKUP("transport|NOx|Premature mortality", US_national_yearly!$D:$AM, 12, FALSE) / VLOOKUP("transport|NOx|Premature mortality", US_national_yearly!$D:$AM, 10, FALSE), 1)</f>
        <v>8.54110042319565E-5</v>
      </c>
      <c r="E2" s="7">
        <f>$B2 * IFERROR(VLOOKUP("transport|NOx|Premature mortality", US_national_yearly!$D:$AM, 13, FALSE) / VLOOKUP("transport|NOx|Premature mortality", US_national_yearly!$D:$AM, 10, FALSE), 1)</f>
        <v>8.6629745033117638E-5</v>
      </c>
      <c r="F2" s="7">
        <f>$B2 * IFERROR(VLOOKUP("transport|NOx|Premature mortality", US_national_yearly!$D:$AM, 14, FALSE) / VLOOKUP("transport|NOx|Premature mortality", US_national_yearly!$D:$AM, 10, FALSE), 1)</f>
        <v>8.7848485834278789E-5</v>
      </c>
      <c r="G2" s="7">
        <f>$B2 * IFERROR(VLOOKUP("transport|NOx|Premature mortality", US_national_yearly!$D:$AM, 15, FALSE) / VLOOKUP("transport|NOx|Premature mortality", US_national_yearly!$D:$AM, 10, FALSE), 1)</f>
        <v>9.0037632452988383E-5</v>
      </c>
      <c r="H2" s="7">
        <f>$B2 * IFERROR(VLOOKUP("transport|NOx|Premature mortality", US_national_yearly!$D:$AM, 16, FALSE) / VLOOKUP("transport|NOx|Premature mortality", US_national_yearly!$D:$AM, 10, FALSE), 1)</f>
        <v>9.2226779071698031E-5</v>
      </c>
      <c r="I2" s="7">
        <f>$B2 * IFERROR(VLOOKUP("transport|NOx|Premature mortality", US_national_yearly!$D:$AM, 17, FALSE) / VLOOKUP("transport|NOx|Premature mortality", US_national_yearly!$D:$AM, 10, FALSE), 1)</f>
        <v>9.3639914739198236E-5</v>
      </c>
      <c r="J2" s="7">
        <f>$B2 * IFERROR(VLOOKUP("transport|NOx|Premature mortality", US_national_yearly!$D:$AM, 18, FALSE) / VLOOKUP("transport|NOx|Premature mortality", US_national_yearly!$D:$AM, 10, FALSE), 1)</f>
        <v>9.5053050406698468E-5</v>
      </c>
      <c r="K2" s="7">
        <f>$B2 * IFERROR(VLOOKUP("transport|NOx|Premature mortality", US_national_yearly!$D:$AM, 19, FALSE) / VLOOKUP("transport|NOx|Premature mortality", US_national_yearly!$D:$AM, 10, FALSE), 1)</f>
        <v>9.6466186074198687E-5</v>
      </c>
      <c r="L2" s="7">
        <f>$B2 * IFERROR(VLOOKUP("transport|NOx|Premature mortality", US_national_yearly!$D:$AM, 20, FALSE) / VLOOKUP("transport|NOx|Premature mortality", US_national_yearly!$D:$AM, 10, FALSE), 1)</f>
        <v>9.7879321741698892E-5</v>
      </c>
      <c r="M2" s="7">
        <f>$B2 * IFERROR(VLOOKUP("transport|NOx|Premature mortality", US_national_yearly!$D:$AM, 21, FALSE) / VLOOKUP("transport|NOx|Premature mortality", US_national_yearly!$D:$AM, 10, FALSE), 1)</f>
        <v>9.9292457409199124E-5</v>
      </c>
      <c r="N2" s="7">
        <f>$B2 * IFERROR(VLOOKUP("transport|NOx|Premature mortality", US_national_yearly!$D:$AM, 22, FALSE) / VLOOKUP("transport|NOx|Premature mortality", US_national_yearly!$D:$AM, 10, FALSE), 1)</f>
        <v>1.0033930281805663E-4</v>
      </c>
      <c r="O2" s="7">
        <f>$B2 * IFERROR(VLOOKUP("transport|NOx|Premature mortality", US_national_yearly!$D:$AM, 23, FALSE) / VLOOKUP("transport|NOx|Premature mortality", US_national_yearly!$D:$AM, 10, FALSE), 1)</f>
        <v>1.0138614822691412E-4</v>
      </c>
      <c r="P2" s="7">
        <f>$B2 * IFERROR(VLOOKUP("transport|NOx|Premature mortality", US_national_yearly!$D:$AM, 24, FALSE) / VLOOKUP("transport|NOx|Premature mortality", US_national_yearly!$D:$AM, 10, FALSE), 1)</f>
        <v>1.0243299363577163E-4</v>
      </c>
      <c r="Q2" s="7">
        <f>$B2 * IFERROR(VLOOKUP("transport|NOx|Premature mortality", US_national_yearly!$D:$AM, 25, FALSE) / VLOOKUP("transport|NOx|Premature mortality", US_national_yearly!$D:$AM, 10, FALSE), 1)</f>
        <v>1.0347983904462915E-4</v>
      </c>
      <c r="R2" s="7">
        <f>$B2 * IFERROR(VLOOKUP("transport|NOx|Premature mortality", US_national_yearly!$D:$AM, 26, FALSE) / VLOOKUP("transport|NOx|Premature mortality", US_national_yearly!$D:$AM, 10, FALSE), 1)</f>
        <v>1.0452668445348664E-4</v>
      </c>
      <c r="S2" s="7">
        <f>$B2 * IFERROR(VLOOKUP("transport|NOx|Premature mortality", US_national_yearly!$D:$AM, 27, FALSE) / VLOOKUP("transport|NOx|Premature mortality", US_national_yearly!$D:$AM, 10, FALSE), 1)</f>
        <v>1.0500248623340556E-4</v>
      </c>
      <c r="T2" s="7">
        <f>$B2 * IFERROR(VLOOKUP("transport|NOx|Premature mortality", US_national_yearly!$D:$AM, 28, FALSE) / VLOOKUP("transport|NOx|Premature mortality", US_national_yearly!$D:$AM, 10, FALSE), 1)</f>
        <v>1.0547828801332449E-4</v>
      </c>
      <c r="U2" s="7">
        <f>$B2 * IFERROR(VLOOKUP("transport|NOx|Premature mortality", US_national_yearly!$D:$AM, 29, FALSE) / VLOOKUP("transport|NOx|Premature mortality", US_national_yearly!$D:$AM, 10, FALSE), 1)</f>
        <v>1.0595408979324339E-4</v>
      </c>
      <c r="V2" s="7">
        <f>$B2 * IFERROR(VLOOKUP("transport|NOx|Premature mortality", US_national_yearly!$D:$AM, 30, FALSE) / VLOOKUP("transport|NOx|Premature mortality", US_national_yearly!$D:$AM, 10, FALSE), 1)</f>
        <v>1.0642989157316231E-4</v>
      </c>
      <c r="W2" s="7">
        <f>$B2 * IFERROR(VLOOKUP("transport|NOx|Premature mortality", US_national_yearly!$D:$AM, 31, FALSE) / VLOOKUP("transport|NOx|Premature mortality", US_national_yearly!$D:$AM, 10, FALSE), 1)</f>
        <v>1.0690569335308124E-4</v>
      </c>
      <c r="X2" s="7">
        <f>$B2 * IFERROR(VLOOKUP("transport|NOx|Premature mortality", US_national_yearly!$D:$AM, 32, FALSE) / VLOOKUP("transport|NOx|Premature mortality", US_national_yearly!$D:$AM, 10, FALSE), 1)</f>
        <v>1.0692217485362522E-4</v>
      </c>
      <c r="Y2" s="7">
        <f>$B2 * IFERROR(VLOOKUP("transport|NOx|Premature mortality", US_national_yearly!$D:$AM, 33, FALSE) / VLOOKUP("transport|NOx|Premature mortality", US_national_yearly!$D:$AM, 10, FALSE), 1)</f>
        <v>1.0693865635416921E-4</v>
      </c>
      <c r="Z2" s="7">
        <f>$B2 * IFERROR(VLOOKUP("transport|NOx|Premature mortality", US_national_yearly!$D:$AM, 34, FALSE) / VLOOKUP("transport|NOx|Premature mortality", US_national_yearly!$D:$AM, 10, FALSE), 1)</f>
        <v>1.0695513785471318E-4</v>
      </c>
      <c r="AA2" s="7">
        <f>$B2 * IFERROR(VLOOKUP("transport|NOx|Premature mortality", US_national_yearly!$D:$AM, 35, FALSE) / VLOOKUP("transport|NOx|Premature mortality", US_national_yearly!$D:$AM, 10, FALSE), 1)</f>
        <v>1.0697161935525719E-4</v>
      </c>
      <c r="AB2" s="7">
        <f>$B2 * IFERROR(VLOOKUP("transport|NOx|Premature mortality", US_national_yearly!$D:$AM, 36, FALSE) / VLOOKUP("transport|NOx|Premature mortality", US_national_yearly!$D:$AM, 10, FALSE), 1)</f>
        <v>1.0698810085580117E-4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2.6510454557814904E-7</v>
      </c>
      <c r="C3" s="7">
        <f>$B3 * IFERROR(VLOOKUP("transport|NOx|Infant mortality", US_national_yearly!$D:$AM, 11, FALSE) / VLOOKUP("transport|NOx|Infant mortality", US_national_yearly!$D:$AM, 10, FALSE), 1)</f>
        <v>2.6257874925205475E-7</v>
      </c>
      <c r="D3" s="7">
        <f>$B3 * IFERROR(VLOOKUP("transport|NOx|Infant mortality", US_national_yearly!$D:$AM, 12, FALSE) / VLOOKUP("transport|NOx|Infant mortality", US_national_yearly!$D:$AM, 10, FALSE), 1)</f>
        <v>2.6005295292596045E-7</v>
      </c>
      <c r="E3" s="7">
        <f>$B3 * IFERROR(VLOOKUP("transport|NOx|Infant mortality", US_national_yearly!$D:$AM, 13, FALSE) / VLOOKUP("transport|NOx|Infant mortality", US_national_yearly!$D:$AM, 10, FALSE), 1)</f>
        <v>2.5752715659986615E-7</v>
      </c>
      <c r="F3" s="7">
        <f>$B3 * IFERROR(VLOOKUP("transport|NOx|Infant mortality", US_national_yearly!$D:$AM, 14, FALSE) / VLOOKUP("transport|NOx|Infant mortality", US_national_yearly!$D:$AM, 10, FALSE), 1)</f>
        <v>2.5500136027377185E-7</v>
      </c>
      <c r="G3" s="7">
        <f>$B3 * IFERROR(VLOOKUP("transport|NOx|Infant mortality", US_national_yearly!$D:$AM, 15, FALSE) / VLOOKUP("transport|NOx|Infant mortality", US_national_yearly!$D:$AM, 10, FALSE), 1)</f>
        <v>1.6928249516747563E-7</v>
      </c>
      <c r="H3" s="7">
        <f>$B3 * IFERROR(VLOOKUP("transport|NOx|Infant mortality", US_national_yearly!$D:$AM, 16, FALSE) / VLOOKUP("transport|NOx|Infant mortality", US_national_yearly!$D:$AM, 10, FALSE), 1)</f>
        <v>8.3563630061179444E-8</v>
      </c>
      <c r="I3" s="7">
        <f>$B3 * IFERROR(VLOOKUP("transport|NOx|Infant mortality", US_national_yearly!$D:$AM, 17, FALSE) / VLOOKUP("transport|NOx|Infant mortality", US_national_yearly!$D:$AM, 10, FALSE), 1)</f>
        <v>8.2972755409767801E-8</v>
      </c>
      <c r="J3" s="7">
        <f>$B3 * IFERROR(VLOOKUP("transport|NOx|Infant mortality", US_national_yearly!$D:$AM, 18, FALSE) / VLOOKUP("transport|NOx|Infant mortality", US_national_yearly!$D:$AM, 10, FALSE), 1)</f>
        <v>8.2381880758356133E-8</v>
      </c>
      <c r="K3" s="7">
        <f>$B3 * IFERROR(VLOOKUP("transport|NOx|Infant mortality", US_national_yearly!$D:$AM, 19, FALSE) / VLOOKUP("transport|NOx|Infant mortality", US_national_yearly!$D:$AM, 10, FALSE), 1)</f>
        <v>8.1791006106944477E-8</v>
      </c>
      <c r="L3" s="7">
        <f>$B3 * IFERROR(VLOOKUP("transport|NOx|Infant mortality", US_national_yearly!$D:$AM, 20, FALSE) / VLOOKUP("transport|NOx|Infant mortality", US_national_yearly!$D:$AM, 10, FALSE), 1)</f>
        <v>8.1200131455532835E-8</v>
      </c>
      <c r="M3" s="7">
        <f>$B3 * IFERROR(VLOOKUP("transport|NOx|Infant mortality", US_national_yearly!$D:$AM, 21, FALSE) / VLOOKUP("transport|NOx|Infant mortality", US_national_yearly!$D:$AM, 10, FALSE), 1)</f>
        <v>8.0609256804121166E-8</v>
      </c>
      <c r="N3" s="7">
        <f>$B3 * IFERROR(VLOOKUP("transport|NOx|Infant mortality", US_national_yearly!$D:$AM, 22, FALSE) / VLOOKUP("transport|NOx|Infant mortality", US_national_yearly!$D:$AM, 10, FALSE), 1)</f>
        <v>8.0217058916451395E-8</v>
      </c>
      <c r="O3" s="7">
        <f>$B3 * IFERROR(VLOOKUP("transport|NOx|Infant mortality", US_national_yearly!$D:$AM, 23, FALSE) / VLOOKUP("transport|NOx|Infant mortality", US_national_yearly!$D:$AM, 10, FALSE), 1)</f>
        <v>7.9824861028781611E-8</v>
      </c>
      <c r="P3" s="7">
        <f>$B3 * IFERROR(VLOOKUP("transport|NOx|Infant mortality", US_national_yearly!$D:$AM, 24, FALSE) / VLOOKUP("transport|NOx|Infant mortality", US_national_yearly!$D:$AM, 10, FALSE), 1)</f>
        <v>7.943266314111184E-8</v>
      </c>
      <c r="Q3" s="7">
        <f>$B3 * IFERROR(VLOOKUP("transport|NOx|Infant mortality", US_national_yearly!$D:$AM, 25, FALSE) / VLOOKUP("transport|NOx|Infant mortality", US_national_yearly!$D:$AM, 10, FALSE), 1)</f>
        <v>7.9040465253442056E-8</v>
      </c>
      <c r="R3" s="7">
        <f>$B3 * IFERROR(VLOOKUP("transport|NOx|Infant mortality", US_national_yearly!$D:$AM, 26, FALSE) / VLOOKUP("transport|NOx|Infant mortality", US_national_yearly!$D:$AM, 10, FALSE), 1)</f>
        <v>7.8648267365772285E-8</v>
      </c>
      <c r="S3" s="7">
        <f>$B3 * IFERROR(VLOOKUP("transport|NOx|Infant mortality", US_national_yearly!$D:$AM, 27, FALSE) / VLOOKUP("transport|NOx|Infant mortality", US_national_yearly!$D:$AM, 10, FALSE), 1)</f>
        <v>7.8176783135984661E-8</v>
      </c>
      <c r="T3" s="7">
        <f>$B3 * IFERROR(VLOOKUP("transport|NOx|Infant mortality", US_national_yearly!$D:$AM, 28, FALSE) / VLOOKUP("transport|NOx|Infant mortality", US_national_yearly!$D:$AM, 10, FALSE), 1)</f>
        <v>7.7705298906197036E-8</v>
      </c>
      <c r="U3" s="7">
        <f>$B3 * IFERROR(VLOOKUP("transport|NOx|Infant mortality", US_national_yearly!$D:$AM, 29, FALSE) / VLOOKUP("transport|NOx|Infant mortality", US_national_yearly!$D:$AM, 10, FALSE), 1)</f>
        <v>7.7233814676409425E-8</v>
      </c>
      <c r="V3" s="7">
        <f>$B3 * IFERROR(VLOOKUP("transport|NOx|Infant mortality", US_national_yearly!$D:$AM, 30, FALSE) / VLOOKUP("transport|NOx|Infant mortality", US_national_yearly!$D:$AM, 10, FALSE), 1)</f>
        <v>7.6762330446621801E-8</v>
      </c>
      <c r="W3" s="7">
        <f>$B3 * IFERROR(VLOOKUP("transport|NOx|Infant mortality", US_national_yearly!$D:$AM, 31, FALSE) / VLOOKUP("transport|NOx|Infant mortality", US_national_yearly!$D:$AM, 10, FALSE), 1)</f>
        <v>7.6290846216834176E-8</v>
      </c>
      <c r="X3" s="7">
        <f>$B3 * IFERROR(VLOOKUP("transport|NOx|Infant mortality", US_national_yearly!$D:$AM, 32, FALSE) / VLOOKUP("transport|NOx|Infant mortality", US_national_yearly!$D:$AM, 10, FALSE), 1)</f>
        <v>7.5791521617442315E-8</v>
      </c>
      <c r="Y3" s="7">
        <f>$B3 * IFERROR(VLOOKUP("transport|NOx|Infant mortality", US_national_yearly!$D:$AM, 33, FALSE) / VLOOKUP("transport|NOx|Infant mortality", US_national_yearly!$D:$AM, 10, FALSE), 1)</f>
        <v>7.5292197018050428E-8</v>
      </c>
      <c r="Z3" s="7">
        <f>$B3 * IFERROR(VLOOKUP("transport|NOx|Infant mortality", US_national_yearly!$D:$AM, 34, FALSE) / VLOOKUP("transport|NOx|Infant mortality", US_national_yearly!$D:$AM, 10, FALSE), 1)</f>
        <v>7.4792872418658553E-8</v>
      </c>
      <c r="AA3" s="7">
        <f>$B3 * IFERROR(VLOOKUP("transport|NOx|Infant mortality", US_national_yearly!$D:$AM, 35, FALSE) / VLOOKUP("transport|NOx|Infant mortality", US_national_yearly!$D:$AM, 10, FALSE), 1)</f>
        <v>7.4293547819266679E-8</v>
      </c>
      <c r="AB3" s="7">
        <f>$B3 * IFERROR(VLOOKUP("transport|NOx|Infant mortality", US_national_yearly!$D:$AM, 36, FALSE) / VLOOKUP("transport|NOx|Infant mortality", US_national_yearly!$D:$AM, 10, FALSE), 1)</f>
        <v>7.3794223219874792E-8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2.4880726558771965E-4</v>
      </c>
      <c r="C6" s="7">
        <f>$B6 * IFERROR(VLOOKUP("transport|NOx|Asthma symptoms cough", US_national_yearly!$D:$AM, 11, FALSE) / VLOOKUP("transport|NOx|Asthma symptoms cough", US_national_yearly!$D:$AM, 10, FALSE), 1)</f>
        <v>2.5220886769208064E-4</v>
      </c>
      <c r="D6" s="7">
        <f>$B6 * IFERROR(VLOOKUP("transport|NOx|Asthma symptoms cough", US_national_yearly!$D:$AM, 12, FALSE) / VLOOKUP("transport|NOx|Asthma symptoms cough", US_national_yearly!$D:$AM, 10, FALSE), 1)</f>
        <v>2.5561046979644158E-4</v>
      </c>
      <c r="E6" s="7">
        <f>$B6 * IFERROR(VLOOKUP("transport|NOx|Asthma symptoms cough", US_national_yearly!$D:$AM, 13, FALSE) / VLOOKUP("transport|NOx|Asthma symptoms cough", US_national_yearly!$D:$AM, 10, FALSE), 1)</f>
        <v>2.5901207190080257E-4</v>
      </c>
      <c r="F6" s="7">
        <f>$B6 * IFERROR(VLOOKUP("transport|NOx|Asthma symptoms cough", US_national_yearly!$D:$AM, 14, FALSE) / VLOOKUP("transport|NOx|Asthma symptoms cough", US_national_yearly!$D:$AM, 10, FALSE), 1)</f>
        <v>2.6241367400516355E-4</v>
      </c>
      <c r="G6" s="7">
        <f>$B6 * IFERROR(VLOOKUP("transport|NOx|Asthma symptoms cough", US_national_yearly!$D:$AM, 15, FALSE) / VLOOKUP("transport|NOx|Asthma symptoms cough", US_national_yearly!$D:$AM, 10, FALSE), 1)</f>
        <v>2.6512937794371556E-4</v>
      </c>
      <c r="H6" s="7">
        <f>$B6 * IFERROR(VLOOKUP("transport|NOx|Asthma symptoms cough", US_national_yearly!$D:$AM, 16, FALSE) / VLOOKUP("transport|NOx|Asthma symptoms cough", US_national_yearly!$D:$AM, 10, FALSE), 1)</f>
        <v>2.6784508188226768E-4</v>
      </c>
      <c r="I6" s="7">
        <f>$B6 * IFERROR(VLOOKUP("transport|NOx|Asthma symptoms cough", US_national_yearly!$D:$AM, 17, FALSE) / VLOOKUP("transport|NOx|Asthma symptoms cough", US_national_yearly!$D:$AM, 10, FALSE), 1)</f>
        <v>2.6877978835488915E-4</v>
      </c>
      <c r="J6" s="7">
        <f>$B6 * IFERROR(VLOOKUP("transport|NOx|Asthma symptoms cough", US_national_yearly!$D:$AM, 18, FALSE) / VLOOKUP("transport|NOx|Asthma symptoms cough", US_national_yearly!$D:$AM, 10, FALSE), 1)</f>
        <v>2.6971449482751067E-4</v>
      </c>
      <c r="K6" s="7">
        <f>$B6 * IFERROR(VLOOKUP("transport|NOx|Asthma symptoms cough", US_national_yearly!$D:$AM, 19, FALSE) / VLOOKUP("transport|NOx|Asthma symptoms cough", US_national_yearly!$D:$AM, 10, FALSE), 1)</f>
        <v>2.7064920130013214E-4</v>
      </c>
      <c r="L6" s="7">
        <f>$B6 * IFERROR(VLOOKUP("transport|NOx|Asthma symptoms cough", US_national_yearly!$D:$AM, 20, FALSE) / VLOOKUP("transport|NOx|Asthma symptoms cough", US_national_yearly!$D:$AM, 10, FALSE), 1)</f>
        <v>2.7158390777275366E-4</v>
      </c>
      <c r="M6" s="7">
        <f>$B6 * IFERROR(VLOOKUP("transport|NOx|Asthma symptoms cough", US_national_yearly!$D:$AM, 21, FALSE) / VLOOKUP("transport|NOx|Asthma symptoms cough", US_national_yearly!$D:$AM, 10, FALSE), 1)</f>
        <v>2.7251861424537518E-4</v>
      </c>
      <c r="N6" s="7">
        <f>$B6 * IFERROR(VLOOKUP("transport|NOx|Asthma symptoms cough", US_national_yearly!$D:$AM, 22, FALSE) / VLOOKUP("transport|NOx|Asthma symptoms cough", US_national_yearly!$D:$AM, 10, FALSE), 1)</f>
        <v>2.7360247600541869E-4</v>
      </c>
      <c r="O6" s="7">
        <f>$B6 * IFERROR(VLOOKUP("transport|NOx|Asthma symptoms cough", US_national_yearly!$D:$AM, 23, FALSE) / VLOOKUP("transport|NOx|Asthma symptoms cough", US_national_yearly!$D:$AM, 10, FALSE), 1)</f>
        <v>2.746863377654622E-4</v>
      </c>
      <c r="P6" s="7">
        <f>$B6 * IFERROR(VLOOKUP("transport|NOx|Asthma symptoms cough", US_national_yearly!$D:$AM, 24, FALSE) / VLOOKUP("transport|NOx|Asthma symptoms cough", US_national_yearly!$D:$AM, 10, FALSE), 1)</f>
        <v>2.7577019952550576E-4</v>
      </c>
      <c r="Q6" s="7">
        <f>$B6 * IFERROR(VLOOKUP("transport|NOx|Asthma symptoms cough", US_national_yearly!$D:$AM, 25, FALSE) / VLOOKUP("transport|NOx|Asthma symptoms cough", US_national_yearly!$D:$AM, 10, FALSE), 1)</f>
        <v>2.7685406128554932E-4</v>
      </c>
      <c r="R6" s="7">
        <f>$B6 * IFERROR(VLOOKUP("transport|NOx|Asthma symptoms cough", US_national_yearly!$D:$AM, 26, FALSE) / VLOOKUP("transport|NOx|Asthma symptoms cough", US_national_yearly!$D:$AM, 10, FALSE), 1)</f>
        <v>2.7793792304559283E-4</v>
      </c>
      <c r="S6" s="7">
        <f>$B6 * IFERROR(VLOOKUP("transport|NOx|Asthma symptoms cough", US_national_yearly!$D:$AM, 27, FALSE) / VLOOKUP("transport|NOx|Asthma symptoms cough", US_national_yearly!$D:$AM, 10, FALSE), 1)</f>
        <v>2.7935379171162229E-4</v>
      </c>
      <c r="T6" s="7">
        <f>$B6 * IFERROR(VLOOKUP("transport|NOx|Asthma symptoms cough", US_national_yearly!$D:$AM, 28, FALSE) / VLOOKUP("transport|NOx|Asthma symptoms cough", US_national_yearly!$D:$AM, 10, FALSE), 1)</f>
        <v>2.807696603776517E-4</v>
      </c>
      <c r="U6" s="7">
        <f>$B6 * IFERROR(VLOOKUP("transport|NOx|Asthma symptoms cough", US_national_yearly!$D:$AM, 29, FALSE) / VLOOKUP("transport|NOx|Asthma symptoms cough", US_national_yearly!$D:$AM, 10, FALSE), 1)</f>
        <v>2.8218552904368105E-4</v>
      </c>
      <c r="V6" s="7">
        <f>$B6 * IFERROR(VLOOKUP("transport|NOx|Asthma symptoms cough", US_national_yearly!$D:$AM, 30, FALSE) / VLOOKUP("transport|NOx|Asthma symptoms cough", US_national_yearly!$D:$AM, 10, FALSE), 1)</f>
        <v>2.8360139770971051E-4</v>
      </c>
      <c r="W6" s="7">
        <f>$B6 * IFERROR(VLOOKUP("transport|NOx|Asthma symptoms cough", US_national_yearly!$D:$AM, 31, FALSE) / VLOOKUP("transport|NOx|Asthma symptoms cough", US_national_yearly!$D:$AM, 10, FALSE), 1)</f>
        <v>2.8501726637573992E-4</v>
      </c>
      <c r="X6" s="7">
        <f>$B6 * IFERROR(VLOOKUP("transport|NOx|Asthma symptoms cough", US_national_yearly!$D:$AM, 32, FALSE) / VLOOKUP("transport|NOx|Asthma symptoms cough", US_national_yearly!$D:$AM, 10, FALSE), 1)</f>
        <v>2.8633281180634598E-4</v>
      </c>
      <c r="Y6" s="7">
        <f>$B6 * IFERROR(VLOOKUP("transport|NOx|Asthma symptoms cough", US_national_yearly!$D:$AM, 33, FALSE) / VLOOKUP("transport|NOx|Asthma symptoms cough", US_national_yearly!$D:$AM, 10, FALSE), 1)</f>
        <v>2.8764835723695204E-4</v>
      </c>
      <c r="Z6" s="7">
        <f>$B6 * IFERROR(VLOOKUP("transport|NOx|Asthma symptoms cough", US_national_yearly!$D:$AM, 34, FALSE) / VLOOKUP("transport|NOx|Asthma symptoms cough", US_national_yearly!$D:$AM, 10, FALSE), 1)</f>
        <v>2.8896390266755815E-4</v>
      </c>
      <c r="AA6" s="7">
        <f>$B6 * IFERROR(VLOOKUP("transport|NOx|Asthma symptoms cough", US_national_yearly!$D:$AM, 35, FALSE) / VLOOKUP("transport|NOx|Asthma symptoms cough", US_national_yearly!$D:$AM, 10, FALSE), 1)</f>
        <v>2.9027944809816421E-4</v>
      </c>
      <c r="AB6" s="7">
        <f>$B6 * IFERROR(VLOOKUP("transport|NOx|Asthma symptoms cough", US_national_yearly!$D:$AM, 36, FALSE) / VLOOKUP("transport|NOx|Asthma symptoms cough", US_national_yearly!$D:$AM, 10, FALSE), 1)</f>
        <v>2.9159499352877032E-4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3.3505328116494807E-4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3.3963400730531999E-4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3.4421473344569184E-4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3.4879545958606376E-4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3.5337618572643567E-4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3.5703325543311312E-4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3.6069032513979062E-4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3.6194903624600303E-4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3.6320774735221543E-4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3.6446645845842783E-4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3.6572516956464023E-4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3.6698388067085263E-4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3.6844344993622606E-4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3.699030192015995E-4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3.7136258846697288E-4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3.7282215773234631E-4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3.7428172699771975E-4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3.7618838933300698E-4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3.7809505166829432E-4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3.8000171400358161E-4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3.8190837633886879E-4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3.8381503867415602E-4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3.855866019422925E-4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3.8735816521042897E-4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3.8912972847856555E-4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3.9090129174670202E-4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3.926728550148385E-4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5.1191106775648433E-4</v>
      </c>
      <c r="C8" s="7">
        <f>$B8 * IFERROR(VLOOKUP("transport|NOx|Asthma symptoms wheeze", US_national_yearly!$D:$AM, 11, FALSE) / VLOOKUP("transport|NOx|Asthma symptoms wheeze", US_national_yearly!$D:$AM, 10, FALSE), 1)</f>
        <v>5.1890972900383203E-4</v>
      </c>
      <c r="D8" s="7">
        <f>$B8 * IFERROR(VLOOKUP("transport|NOx|Asthma symptoms wheeze", US_national_yearly!$D:$AM, 12, FALSE) / VLOOKUP("transport|NOx|Asthma symptoms wheeze", US_national_yearly!$D:$AM, 10, FALSE), 1)</f>
        <v>5.2590839025117996E-4</v>
      </c>
      <c r="E8" s="7">
        <f>$B8 * IFERROR(VLOOKUP("transport|NOx|Asthma symptoms wheeze", US_national_yearly!$D:$AM, 13, FALSE) / VLOOKUP("transport|NOx|Asthma symptoms wheeze", US_national_yearly!$D:$AM, 10, FALSE), 1)</f>
        <v>5.3290705149852766E-4</v>
      </c>
      <c r="F8" s="7">
        <f>$B8 * IFERROR(VLOOKUP("transport|NOx|Asthma symptoms wheeze", US_national_yearly!$D:$AM, 14, FALSE) / VLOOKUP("transport|NOx|Asthma symptoms wheeze", US_national_yearly!$D:$AM, 10, FALSE), 1)</f>
        <v>5.3990571274587526E-4</v>
      </c>
      <c r="G8" s="7">
        <f>$B8 * IFERROR(VLOOKUP("transport|NOx|Asthma symptoms wheeze", US_national_yearly!$D:$AM, 15, FALSE) / VLOOKUP("transport|NOx|Asthma symptoms wheeze", US_national_yearly!$D:$AM, 10, FALSE), 1)</f>
        <v>5.4549316575920874E-4</v>
      </c>
      <c r="H8" s="7">
        <f>$B8 * IFERROR(VLOOKUP("transport|NOx|Asthma symptoms wheeze", US_national_yearly!$D:$AM, 16, FALSE) / VLOOKUP("transport|NOx|Asthma symptoms wheeze", US_national_yearly!$D:$AM, 10, FALSE), 1)</f>
        <v>5.5108061877254223E-4</v>
      </c>
      <c r="I8" s="7">
        <f>$B8 * IFERROR(VLOOKUP("transport|NOx|Asthma symptoms wheeze", US_national_yearly!$D:$AM, 17, FALSE) / VLOOKUP("transport|NOx|Asthma symptoms wheeze", US_national_yearly!$D:$AM, 10, FALSE), 1)</f>
        <v>5.5300374022999551E-4</v>
      </c>
      <c r="J8" s="7">
        <f>$B8 * IFERROR(VLOOKUP("transport|NOx|Asthma symptoms wheeze", US_national_yearly!$D:$AM, 18, FALSE) / VLOOKUP("transport|NOx|Asthma symptoms wheeze", US_national_yearly!$D:$AM, 10, FALSE), 1)</f>
        <v>5.549268616874489E-4</v>
      </c>
      <c r="K8" s="7">
        <f>$B8 * IFERROR(VLOOKUP("transport|NOx|Asthma symptoms wheeze", US_national_yearly!$D:$AM, 19, FALSE) / VLOOKUP("transport|NOx|Asthma symptoms wheeze", US_national_yearly!$D:$AM, 10, FALSE), 1)</f>
        <v>5.5684998314490207E-4</v>
      </c>
      <c r="L8" s="7">
        <f>$B8 * IFERROR(VLOOKUP("transport|NOx|Asthma symptoms wheeze", US_national_yearly!$D:$AM, 20, FALSE) / VLOOKUP("transport|NOx|Asthma symptoms wheeze", US_national_yearly!$D:$AM, 10, FALSE), 1)</f>
        <v>5.5877310460235546E-4</v>
      </c>
      <c r="M8" s="7">
        <f>$B8 * IFERROR(VLOOKUP("transport|NOx|Asthma symptoms wheeze", US_national_yearly!$D:$AM, 21, FALSE) / VLOOKUP("transport|NOx|Asthma symptoms wheeze", US_national_yearly!$D:$AM, 10, FALSE), 1)</f>
        <v>5.6069622605980874E-4</v>
      </c>
      <c r="N8" s="7">
        <f>$B8 * IFERROR(VLOOKUP("transport|NOx|Asthma symptoms wheeze", US_national_yearly!$D:$AM, 22, FALSE) / VLOOKUP("transport|NOx|Asthma symptoms wheeze", US_national_yearly!$D:$AM, 10, FALSE), 1)</f>
        <v>5.6292622860021964E-4</v>
      </c>
      <c r="O8" s="7">
        <f>$B8 * IFERROR(VLOOKUP("transport|NOx|Asthma symptoms wheeze", US_national_yearly!$D:$AM, 23, FALSE) / VLOOKUP("transport|NOx|Asthma symptoms wheeze", US_national_yearly!$D:$AM, 10, FALSE), 1)</f>
        <v>5.6515623114063065E-4</v>
      </c>
      <c r="P8" s="7">
        <f>$B8 * IFERROR(VLOOKUP("transport|NOx|Asthma symptoms wheeze", US_national_yearly!$D:$AM, 24, FALSE) / VLOOKUP("transport|NOx|Asthma symptoms wheeze", US_national_yearly!$D:$AM, 10, FALSE), 1)</f>
        <v>5.6738623368104155E-4</v>
      </c>
      <c r="Q8" s="7">
        <f>$B8 * IFERROR(VLOOKUP("transport|NOx|Asthma symptoms wheeze", US_national_yearly!$D:$AM, 25, FALSE) / VLOOKUP("transport|NOx|Asthma symptoms wheeze", US_national_yearly!$D:$AM, 10, FALSE), 1)</f>
        <v>5.6961623622145256E-4</v>
      </c>
      <c r="R8" s="7">
        <f>$B8 * IFERROR(VLOOKUP("transport|NOx|Asthma symptoms wheeze", US_national_yearly!$D:$AM, 26, FALSE) / VLOOKUP("transport|NOx|Asthma symptoms wheeze", US_national_yearly!$D:$AM, 10, FALSE), 1)</f>
        <v>5.7184623876186346E-4</v>
      </c>
      <c r="S8" s="7">
        <f>$B8 * IFERROR(VLOOKUP("transport|NOx|Asthma symptoms wheeze", US_national_yearly!$D:$AM, 27, FALSE) / VLOOKUP("transport|NOx|Asthma symptoms wheeze", US_national_yearly!$D:$AM, 10, FALSE), 1)</f>
        <v>5.7475933232846075E-4</v>
      </c>
      <c r="T8" s="7">
        <f>$B8 * IFERROR(VLOOKUP("transport|NOx|Asthma symptoms wheeze", US_national_yearly!$D:$AM, 28, FALSE) / VLOOKUP("transport|NOx|Asthma symptoms wheeze", US_national_yearly!$D:$AM, 10, FALSE), 1)</f>
        <v>5.7767242589505793E-4</v>
      </c>
      <c r="U8" s="7">
        <f>$B8 * IFERROR(VLOOKUP("transport|NOx|Asthma symptoms wheeze", US_national_yearly!$D:$AM, 29, FALSE) / VLOOKUP("transport|NOx|Asthma symptoms wheeze", US_national_yearly!$D:$AM, 10, FALSE), 1)</f>
        <v>5.8058551946165511E-4</v>
      </c>
      <c r="V8" s="7">
        <f>$B8 * IFERROR(VLOOKUP("transport|NOx|Asthma symptoms wheeze", US_national_yearly!$D:$AM, 30, FALSE) / VLOOKUP("transport|NOx|Asthma symptoms wheeze", US_national_yearly!$D:$AM, 10, FALSE), 1)</f>
        <v>5.8349861302825251E-4</v>
      </c>
      <c r="W8" s="7">
        <f>$B8 * IFERROR(VLOOKUP("transport|NOx|Asthma symptoms wheeze", US_national_yearly!$D:$AM, 31, FALSE) / VLOOKUP("transport|NOx|Asthma symptoms wheeze", US_national_yearly!$D:$AM, 10, FALSE), 1)</f>
        <v>5.8641170659484959E-4</v>
      </c>
      <c r="X8" s="7">
        <f>$B8 * IFERROR(VLOOKUP("transport|NOx|Asthma symptoms wheeze", US_national_yearly!$D:$AM, 32, FALSE) / VLOOKUP("transport|NOx|Asthma symptoms wheeze", US_national_yearly!$D:$AM, 10, FALSE), 1)</f>
        <v>5.8911838908674342E-4</v>
      </c>
      <c r="Y8" s="7">
        <f>$B8 * IFERROR(VLOOKUP("transport|NOx|Asthma symptoms wheeze", US_national_yearly!$D:$AM, 33, FALSE) / VLOOKUP("transport|NOx|Asthma symptoms wheeze", US_national_yearly!$D:$AM, 10, FALSE), 1)</f>
        <v>5.9182507157863715E-4</v>
      </c>
      <c r="Z8" s="7">
        <f>$B8 * IFERROR(VLOOKUP("transport|NOx|Asthma symptoms wheeze", US_national_yearly!$D:$AM, 34, FALSE) / VLOOKUP("transport|NOx|Asthma symptoms wheeze", US_national_yearly!$D:$AM, 10, FALSE), 1)</f>
        <v>5.9453175407053087E-4</v>
      </c>
      <c r="AA8" s="7">
        <f>$B8 * IFERROR(VLOOKUP("transport|NOx|Asthma symptoms wheeze", US_national_yearly!$D:$AM, 35, FALSE) / VLOOKUP("transport|NOx|Asthma symptoms wheeze", US_national_yearly!$D:$AM, 10, FALSE), 1)</f>
        <v>5.972384365624246E-4</v>
      </c>
      <c r="AB8" s="7">
        <f>$B8 * IFERROR(VLOOKUP("transport|NOx|Asthma symptoms wheeze", US_national_yearly!$D:$AM, 36, FALSE) / VLOOKUP("transport|NOx|Asthma symptoms wheeze", US_national_yearly!$D:$AM, 10, FALSE), 1)</f>
        <v>5.9994511905431844E-4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6.9942034300202083E-6</v>
      </c>
      <c r="C12" s="7">
        <f>$B12 * IFERROR(VLOOKUP("transport|NOx|Respiratory hospital admissions", US_national_yearly!$D:$AM, 11, FALSE) / VLOOKUP("transport|NOx|Respiratory hospital admissions", US_national_yearly!$D:$AM, 10, FALSE), 1)</f>
        <v>7.1686714894437842E-6</v>
      </c>
      <c r="D12" s="7">
        <f>$B12 * IFERROR(VLOOKUP("transport|NOx|Respiratory hospital admissions", US_national_yearly!$D:$AM, 12, FALSE) / VLOOKUP("transport|NOx|Respiratory hospital admissions", US_national_yearly!$D:$AM, 10, FALSE), 1)</f>
        <v>7.3431395488673608E-6</v>
      </c>
      <c r="E12" s="7">
        <f>$B12 * IFERROR(VLOOKUP("transport|NOx|Respiratory hospital admissions", US_national_yearly!$D:$AM, 13, FALSE) / VLOOKUP("transport|NOx|Respiratory hospital admissions", US_national_yearly!$D:$AM, 10, FALSE), 1)</f>
        <v>7.5176076082909383E-6</v>
      </c>
      <c r="F12" s="7">
        <f>$B12 * IFERROR(VLOOKUP("transport|NOx|Respiratory hospital admissions", US_national_yearly!$D:$AM, 14, FALSE) / VLOOKUP("transport|NOx|Respiratory hospital admissions", US_national_yearly!$D:$AM, 10, FALSE), 1)</f>
        <v>7.6920756677145159E-6</v>
      </c>
      <c r="G12" s="7">
        <f>$B12 * IFERROR(VLOOKUP("transport|NOx|Respiratory hospital admissions", US_national_yearly!$D:$AM, 15, FALSE) / VLOOKUP("transport|NOx|Respiratory hospital admissions", US_national_yearly!$D:$AM, 10, FALSE), 1)</f>
        <v>7.8588730707093445E-6</v>
      </c>
      <c r="H12" s="7">
        <f>$B12 * IFERROR(VLOOKUP("transport|NOx|Respiratory hospital admissions", US_national_yearly!$D:$AM, 16, FALSE) / VLOOKUP("transport|NOx|Respiratory hospital admissions", US_national_yearly!$D:$AM, 10, FALSE), 1)</f>
        <v>8.0256704737041715E-6</v>
      </c>
      <c r="I12" s="7">
        <f>$B12 * IFERROR(VLOOKUP("transport|NOx|Respiratory hospital admissions", US_national_yearly!$D:$AM, 17, FALSE) / VLOOKUP("transport|NOx|Respiratory hospital admissions", US_national_yearly!$D:$AM, 10, FALSE), 1)</f>
        <v>8.1672848978543686E-6</v>
      </c>
      <c r="J12" s="7">
        <f>$B12 * IFERROR(VLOOKUP("transport|NOx|Respiratory hospital admissions", US_national_yearly!$D:$AM, 18, FALSE) / VLOOKUP("transport|NOx|Respiratory hospital admissions", US_national_yearly!$D:$AM, 10, FALSE), 1)</f>
        <v>8.3088993220045639E-6</v>
      </c>
      <c r="K12" s="7">
        <f>$B12 * IFERROR(VLOOKUP("transport|NOx|Respiratory hospital admissions", US_national_yearly!$D:$AM, 19, FALSE) / VLOOKUP("transport|NOx|Respiratory hospital admissions", US_national_yearly!$D:$AM, 10, FALSE), 1)</f>
        <v>8.4505137461547609E-6</v>
      </c>
      <c r="L12" s="7">
        <f>$B12 * IFERROR(VLOOKUP("transport|NOx|Respiratory hospital admissions", US_national_yearly!$D:$AM, 20, FALSE) / VLOOKUP("transport|NOx|Respiratory hospital admissions", US_national_yearly!$D:$AM, 10, FALSE), 1)</f>
        <v>8.5921281703049562E-6</v>
      </c>
      <c r="M12" s="7">
        <f>$B12 * IFERROR(VLOOKUP("transport|NOx|Respiratory hospital admissions", US_national_yearly!$D:$AM, 21, FALSE) / VLOOKUP("transport|NOx|Respiratory hospital admissions", US_national_yearly!$D:$AM, 10, FALSE), 1)</f>
        <v>8.7337425944551532E-6</v>
      </c>
      <c r="N12" s="7">
        <f>$B12 * IFERROR(VLOOKUP("transport|NOx|Respiratory hospital admissions", US_national_yearly!$D:$AM, 22, FALSE) / VLOOKUP("transport|NOx|Respiratory hospital admissions", US_national_yearly!$D:$AM, 10, FALSE), 1)</f>
        <v>8.8284143867048639E-6</v>
      </c>
      <c r="O12" s="7">
        <f>$B12 * IFERROR(VLOOKUP("transport|NOx|Respiratory hospital admissions", US_national_yearly!$D:$AM, 23, FALSE) / VLOOKUP("transport|NOx|Respiratory hospital admissions", US_national_yearly!$D:$AM, 10, FALSE), 1)</f>
        <v>8.923086178954578E-6</v>
      </c>
      <c r="P12" s="7">
        <f>$B12 * IFERROR(VLOOKUP("transport|NOx|Respiratory hospital admissions", US_national_yearly!$D:$AM, 24, FALSE) / VLOOKUP("transport|NOx|Respiratory hospital admissions", US_national_yearly!$D:$AM, 10, FALSE), 1)</f>
        <v>9.0177579712042887E-6</v>
      </c>
      <c r="Q12" s="7">
        <f>$B12 * IFERROR(VLOOKUP("transport|NOx|Respiratory hospital admissions", US_national_yearly!$D:$AM, 25, FALSE) / VLOOKUP("transport|NOx|Respiratory hospital admissions", US_national_yearly!$D:$AM, 10, FALSE), 1)</f>
        <v>9.1124297634540027E-6</v>
      </c>
      <c r="R12" s="7">
        <f>$B12 * IFERROR(VLOOKUP("transport|NOx|Respiratory hospital admissions", US_national_yearly!$D:$AM, 26, FALSE) / VLOOKUP("transport|NOx|Respiratory hospital admissions", US_national_yearly!$D:$AM, 10, FALSE), 1)</f>
        <v>9.2071015557037151E-6</v>
      </c>
      <c r="S12" s="7">
        <f>$B12 * IFERROR(VLOOKUP("transport|NOx|Respiratory hospital admissions", US_national_yearly!$D:$AM, 27, FALSE) / VLOOKUP("transport|NOx|Respiratory hospital admissions", US_national_yearly!$D:$AM, 10, FALSE), 1)</f>
        <v>9.2578241366826882E-6</v>
      </c>
      <c r="T12" s="7">
        <f>$B12 * IFERROR(VLOOKUP("transport|NOx|Respiratory hospital admissions", US_national_yearly!$D:$AM, 28, FALSE) / VLOOKUP("transport|NOx|Respiratory hospital admissions", US_national_yearly!$D:$AM, 10, FALSE), 1)</f>
        <v>9.308546717661663E-6</v>
      </c>
      <c r="U12" s="7">
        <f>$B12 * IFERROR(VLOOKUP("transport|NOx|Respiratory hospital admissions", US_national_yearly!$D:$AM, 29, FALSE) / VLOOKUP("transport|NOx|Respiratory hospital admissions", US_national_yearly!$D:$AM, 10, FALSE), 1)</f>
        <v>9.3592692986406361E-6</v>
      </c>
      <c r="V12" s="7">
        <f>$B12 * IFERROR(VLOOKUP("transport|NOx|Respiratory hospital admissions", US_national_yearly!$D:$AM, 30, FALSE) / VLOOKUP("transport|NOx|Respiratory hospital admissions", US_national_yearly!$D:$AM, 10, FALSE), 1)</f>
        <v>9.4099918796196092E-6</v>
      </c>
      <c r="W12" s="7">
        <f>$B12 * IFERROR(VLOOKUP("transport|NOx|Respiratory hospital admissions", US_national_yearly!$D:$AM, 31, FALSE) / VLOOKUP("transport|NOx|Respiratory hospital admissions", US_national_yearly!$D:$AM, 10, FALSE), 1)</f>
        <v>9.4607144605985857E-6</v>
      </c>
      <c r="X12" s="7">
        <f>$B12 * IFERROR(VLOOKUP("transport|NOx|Respiratory hospital admissions", US_national_yearly!$D:$AM, 32, FALSE) / VLOOKUP("transport|NOx|Respiratory hospital admissions", US_national_yearly!$D:$AM, 10, FALSE), 1)</f>
        <v>9.4953767549982842E-6</v>
      </c>
      <c r="Y12" s="7">
        <f>$B12 * IFERROR(VLOOKUP("transport|NOx|Respiratory hospital admissions", US_national_yearly!$D:$AM, 33, FALSE) / VLOOKUP("transport|NOx|Respiratory hospital admissions", US_national_yearly!$D:$AM, 10, FALSE), 1)</f>
        <v>9.5300390493979843E-6</v>
      </c>
      <c r="Z12" s="7">
        <f>$B12 * IFERROR(VLOOKUP("transport|NOx|Respiratory hospital admissions", US_national_yearly!$D:$AM, 34, FALSE) / VLOOKUP("transport|NOx|Respiratory hospital admissions", US_national_yearly!$D:$AM, 10, FALSE), 1)</f>
        <v>9.5647013437976844E-6</v>
      </c>
      <c r="AA12" s="7">
        <f>$B12 * IFERROR(VLOOKUP("transport|NOx|Respiratory hospital admissions", US_national_yearly!$D:$AM, 35, FALSE) / VLOOKUP("transport|NOx|Respiratory hospital admissions", US_national_yearly!$D:$AM, 10, FALSE), 1)</f>
        <v>9.5993636381973845E-6</v>
      </c>
      <c r="AB12" s="7">
        <f>$B12 * IFERROR(VLOOKUP("transport|NOx|Respiratory hospital admissions", US_national_yearly!$D:$AM, 36, FALSE) / VLOOKUP("transport|NOx|Respiratory hospital admissions", US_national_yearly!$D:$AM, 10, FALSE), 1)</f>
        <v>9.6340259325970829E-6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3.7210569941738245E-5</v>
      </c>
      <c r="C13" s="7">
        <f>$B13 * IFERROR(VLOOKUP("transport|NOx|Non-fatal heart attacks", US_national_yearly!$D:$AM, 11, FALSE) / VLOOKUP("transport|NOx|Non-fatal heart attacks", US_national_yearly!$D:$AM, 10, FALSE), 1)</f>
        <v>3.8274387351768689E-5</v>
      </c>
      <c r="D13" s="7">
        <f>$B13 * IFERROR(VLOOKUP("transport|NOx|Non-fatal heart attacks", US_national_yearly!$D:$AM, 12, FALSE) / VLOOKUP("transport|NOx|Non-fatal heart attacks", US_national_yearly!$D:$AM, 10, FALSE), 1)</f>
        <v>3.9338204761799132E-5</v>
      </c>
      <c r="E13" s="7">
        <f>$B13 * IFERROR(VLOOKUP("transport|NOx|Non-fatal heart attacks", US_national_yearly!$D:$AM, 13, FALSE) / VLOOKUP("transport|NOx|Non-fatal heart attacks", US_national_yearly!$D:$AM, 10, FALSE), 1)</f>
        <v>4.0402022171829568E-5</v>
      </c>
      <c r="F13" s="7">
        <f>$B13 * IFERROR(VLOOKUP("transport|NOx|Non-fatal heart attacks", US_national_yearly!$D:$AM, 14, FALSE) / VLOOKUP("transport|NOx|Non-fatal heart attacks", US_national_yearly!$D:$AM, 10, FALSE), 1)</f>
        <v>4.1465839581860012E-5</v>
      </c>
      <c r="G13" s="7">
        <f>$B13 * IFERROR(VLOOKUP("transport|NOx|Non-fatal heart attacks", US_national_yearly!$D:$AM, 15, FALSE) / VLOOKUP("transport|NOx|Non-fatal heart attacks", US_national_yearly!$D:$AM, 10, FALSE), 1)</f>
        <v>4.2459974740551614E-5</v>
      </c>
      <c r="H13" s="7">
        <f>$B13 * IFERROR(VLOOKUP("transport|NOx|Non-fatal heart attacks", US_national_yearly!$D:$AM, 16, FALSE) / VLOOKUP("transport|NOx|Non-fatal heart attacks", US_national_yearly!$D:$AM, 10, FALSE), 1)</f>
        <v>4.3454109899243217E-5</v>
      </c>
      <c r="I13" s="7">
        <f>$B13 * IFERROR(VLOOKUP("transport|NOx|Non-fatal heart attacks", US_national_yearly!$D:$AM, 17, FALSE) / VLOOKUP("transport|NOx|Non-fatal heart attacks", US_national_yearly!$D:$AM, 10, FALSE), 1)</f>
        <v>4.4237871831372365E-5</v>
      </c>
      <c r="J13" s="7">
        <f>$B13 * IFERROR(VLOOKUP("transport|NOx|Non-fatal heart attacks", US_national_yearly!$D:$AM, 18, FALSE) / VLOOKUP("transport|NOx|Non-fatal heart attacks", US_national_yearly!$D:$AM, 10, FALSE), 1)</f>
        <v>4.5021633763501512E-5</v>
      </c>
      <c r="K13" s="7">
        <f>$B13 * IFERROR(VLOOKUP("transport|NOx|Non-fatal heart attacks", US_national_yearly!$D:$AM, 19, FALSE) / VLOOKUP("transport|NOx|Non-fatal heart attacks", US_national_yearly!$D:$AM, 10, FALSE), 1)</f>
        <v>4.5805395695630633E-5</v>
      </c>
      <c r="L13" s="7">
        <f>$B13 * IFERROR(VLOOKUP("transport|NOx|Non-fatal heart attacks", US_national_yearly!$D:$AM, 20, FALSE) / VLOOKUP("transport|NOx|Non-fatal heart attacks", US_national_yearly!$D:$AM, 10, FALSE), 1)</f>
        <v>4.6589157627759807E-5</v>
      </c>
      <c r="M13" s="7">
        <f>$B13 * IFERROR(VLOOKUP("transport|NOx|Non-fatal heart attacks", US_national_yearly!$D:$AM, 21, FALSE) / VLOOKUP("transport|NOx|Non-fatal heart attacks", US_national_yearly!$D:$AM, 10, FALSE), 1)</f>
        <v>4.7372919559888941E-5</v>
      </c>
      <c r="N13" s="7">
        <f>$B13 * IFERROR(VLOOKUP("transport|NOx|Non-fatal heart attacks", US_national_yearly!$D:$AM, 22, FALSE) / VLOOKUP("transport|NOx|Non-fatal heart attacks", US_national_yearly!$D:$AM, 10, FALSE), 1)</f>
        <v>4.7844454507075E-5</v>
      </c>
      <c r="O13" s="7">
        <f>$B13 * IFERROR(VLOOKUP("transport|NOx|Non-fatal heart attacks", US_national_yearly!$D:$AM, 23, FALSE) / VLOOKUP("transport|NOx|Non-fatal heart attacks", US_national_yearly!$D:$AM, 10, FALSE), 1)</f>
        <v>4.8315989454261052E-5</v>
      </c>
      <c r="P13" s="7">
        <f>$B13 * IFERROR(VLOOKUP("transport|NOx|Non-fatal heart attacks", US_national_yearly!$D:$AM, 24, FALSE) / VLOOKUP("transport|NOx|Non-fatal heart attacks", US_national_yearly!$D:$AM, 10, FALSE), 1)</f>
        <v>4.8787524401447104E-5</v>
      </c>
      <c r="Q13" s="7">
        <f>$B13 * IFERROR(VLOOKUP("transport|NOx|Non-fatal heart attacks", US_national_yearly!$D:$AM, 25, FALSE) / VLOOKUP("transport|NOx|Non-fatal heart attacks", US_national_yearly!$D:$AM, 10, FALSE), 1)</f>
        <v>4.9259059348633162E-5</v>
      </c>
      <c r="R13" s="7">
        <f>$B13 * IFERROR(VLOOKUP("transport|NOx|Non-fatal heart attacks", US_national_yearly!$D:$AM, 26, FALSE) / VLOOKUP("transport|NOx|Non-fatal heart attacks", US_national_yearly!$D:$AM, 10, FALSE), 1)</f>
        <v>4.9730594295819221E-5</v>
      </c>
      <c r="S13" s="7">
        <f>$B13 * IFERROR(VLOOKUP("transport|NOx|Non-fatal heart attacks", US_national_yearly!$D:$AM, 27, FALSE) / VLOOKUP("transport|NOx|Non-fatal heart attacks", US_national_yearly!$D:$AM, 10, FALSE), 1)</f>
        <v>4.994448580917393E-5</v>
      </c>
      <c r="T13" s="7">
        <f>$B13 * IFERROR(VLOOKUP("transport|NOx|Non-fatal heart attacks", US_national_yearly!$D:$AM, 28, FALSE) / VLOOKUP("transport|NOx|Non-fatal heart attacks", US_national_yearly!$D:$AM, 10, FALSE), 1)</f>
        <v>5.0158377322528633E-5</v>
      </c>
      <c r="U13" s="7">
        <f>$B13 * IFERROR(VLOOKUP("transport|NOx|Non-fatal heart attacks", US_national_yearly!$D:$AM, 29, FALSE) / VLOOKUP("transport|NOx|Non-fatal heart attacks", US_national_yearly!$D:$AM, 10, FALSE), 1)</f>
        <v>5.0372268835883342E-5</v>
      </c>
      <c r="V13" s="7">
        <f>$B13 * IFERROR(VLOOKUP("transport|NOx|Non-fatal heart attacks", US_national_yearly!$D:$AM, 30, FALSE) / VLOOKUP("transport|NOx|Non-fatal heart attacks", US_national_yearly!$D:$AM, 10, FALSE), 1)</f>
        <v>5.0586160349238045E-5</v>
      </c>
      <c r="W13" s="7">
        <f>$B13 * IFERROR(VLOOKUP("transport|NOx|Non-fatal heart attacks", US_national_yearly!$D:$AM, 31, FALSE) / VLOOKUP("transport|NOx|Non-fatal heart attacks", US_national_yearly!$D:$AM, 10, FALSE), 1)</f>
        <v>5.0800051862592754E-5</v>
      </c>
      <c r="X13" s="7">
        <f>$B13 * IFERROR(VLOOKUP("transport|NOx|Non-fatal heart attacks", US_national_yearly!$D:$AM, 32, FALSE) / VLOOKUP("transport|NOx|Non-fatal heart attacks", US_national_yearly!$D:$AM, 10, FALSE), 1)</f>
        <v>5.0942985426405041E-5</v>
      </c>
      <c r="Y13" s="7">
        <f>$B13 * IFERROR(VLOOKUP("transport|NOx|Non-fatal heart attacks", US_national_yearly!$D:$AM, 33, FALSE) / VLOOKUP("transport|NOx|Non-fatal heart attacks", US_national_yearly!$D:$AM, 10, FALSE), 1)</f>
        <v>5.1085918990217342E-5</v>
      </c>
      <c r="Z13" s="7">
        <f>$B13 * IFERROR(VLOOKUP("transport|NOx|Non-fatal heart attacks", US_national_yearly!$D:$AM, 34, FALSE) / VLOOKUP("transport|NOx|Non-fatal heart attacks", US_national_yearly!$D:$AM, 10, FALSE), 1)</f>
        <v>5.1228852554029623E-5</v>
      </c>
      <c r="AA13" s="7">
        <f>$B13 * IFERROR(VLOOKUP("transport|NOx|Non-fatal heart attacks", US_national_yearly!$D:$AM, 35, FALSE) / VLOOKUP("transport|NOx|Non-fatal heart attacks", US_national_yearly!$D:$AM, 10, FALSE), 1)</f>
        <v>5.137178611784191E-5</v>
      </c>
      <c r="AB13" s="7">
        <f>$B13 * IFERROR(VLOOKUP("transport|NOx|Non-fatal heart attacks", US_national_yearly!$D:$AM, 36, FALSE) / VLOOKUP("transport|NOx|Non-fatal heart attacks", US_national_yearly!$D:$AM, 10, FALSE), 1)</f>
        <v>5.1514719681654205E-5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2.6133380922470854E-2</v>
      </c>
      <c r="C14" s="7">
        <f>$B14 * IFERROR(VLOOKUP("transport|NOx|Minor restricted activity days", US_national_yearly!$D:$AM, 11, FALSE) / VLOOKUP("transport|NOx|Minor restricted activity days", US_national_yearly!$D:$AM, 10, FALSE), 1)</f>
        <v>2.6173447781092984E-2</v>
      </c>
      <c r="D14" s="7">
        <f>$B14 * IFERROR(VLOOKUP("transport|NOx|Minor restricted activity days", US_national_yearly!$D:$AM, 12, FALSE) / VLOOKUP("transport|NOx|Minor restricted activity days", US_national_yearly!$D:$AM, 10, FALSE), 1)</f>
        <v>2.6213514639715121E-2</v>
      </c>
      <c r="E14" s="7">
        <f>$B14 * IFERROR(VLOOKUP("transport|NOx|Minor restricted activity days", US_national_yearly!$D:$AM, 13, FALSE) / VLOOKUP("transport|NOx|Minor restricted activity days", US_national_yearly!$D:$AM, 10, FALSE), 1)</f>
        <v>2.6253581498337258E-2</v>
      </c>
      <c r="F14" s="7">
        <f>$B14 * IFERROR(VLOOKUP("transport|NOx|Minor restricted activity days", US_national_yearly!$D:$AM, 14, FALSE) / VLOOKUP("transport|NOx|Minor restricted activity days", US_national_yearly!$D:$AM, 10, FALSE), 1)</f>
        <v>2.6293648356959392E-2</v>
      </c>
      <c r="G14" s="7">
        <f>$B14 * IFERROR(VLOOKUP("transport|NOx|Minor restricted activity days", US_national_yearly!$D:$AM, 15, FALSE) / VLOOKUP("transport|NOx|Minor restricted activity days", US_national_yearly!$D:$AM, 10, FALSE), 1)</f>
        <v>2.6365999566899133E-2</v>
      </c>
      <c r="H14" s="7">
        <f>$B14 * IFERROR(VLOOKUP("transport|NOx|Minor restricted activity days", US_national_yearly!$D:$AM, 16, FALSE) / VLOOKUP("transport|NOx|Minor restricted activity days", US_national_yearly!$D:$AM, 10, FALSE), 1)</f>
        <v>2.643835077683887E-2</v>
      </c>
      <c r="I14" s="7">
        <f>$B14 * IFERROR(VLOOKUP("transport|NOx|Minor restricted activity days", US_national_yearly!$D:$AM, 17, FALSE) / VLOOKUP("transport|NOx|Minor restricted activity days", US_national_yearly!$D:$AM, 10, FALSE), 1)</f>
        <v>2.6579866882418115E-2</v>
      </c>
      <c r="J14" s="7">
        <f>$B14 * IFERROR(VLOOKUP("transport|NOx|Minor restricted activity days", US_national_yearly!$D:$AM, 18, FALSE) / VLOOKUP("transport|NOx|Minor restricted activity days", US_national_yearly!$D:$AM, 10, FALSE), 1)</f>
        <v>2.6721382987997352E-2</v>
      </c>
      <c r="K14" s="7">
        <f>$B14 * IFERROR(VLOOKUP("transport|NOx|Minor restricted activity days", US_national_yearly!$D:$AM, 19, FALSE) / VLOOKUP("transport|NOx|Minor restricted activity days", US_national_yearly!$D:$AM, 10, FALSE), 1)</f>
        <v>2.6862899093576597E-2</v>
      </c>
      <c r="L14" s="7">
        <f>$B14 * IFERROR(VLOOKUP("transport|NOx|Minor restricted activity days", US_national_yearly!$D:$AM, 20, FALSE) / VLOOKUP("transport|NOx|Minor restricted activity days", US_national_yearly!$D:$AM, 10, FALSE), 1)</f>
        <v>2.7004415199155838E-2</v>
      </c>
      <c r="M14" s="7">
        <f>$B14 * IFERROR(VLOOKUP("transport|NOx|Minor restricted activity days", US_national_yearly!$D:$AM, 21, FALSE) / VLOOKUP("transport|NOx|Minor restricted activity days", US_national_yearly!$D:$AM, 10, FALSE), 1)</f>
        <v>2.7145931304735083E-2</v>
      </c>
      <c r="N14" s="7">
        <f>$B14 * IFERROR(VLOOKUP("transport|NOx|Minor restricted activity days", US_national_yearly!$D:$AM, 22, FALSE) / VLOOKUP("transport|NOx|Minor restricted activity days", US_national_yearly!$D:$AM, 10, FALSE), 1)</f>
        <v>2.7348550279842627E-2</v>
      </c>
      <c r="O14" s="7">
        <f>$B14 * IFERROR(VLOOKUP("transport|NOx|Minor restricted activity days", US_national_yearly!$D:$AM, 23, FALSE) / VLOOKUP("transport|NOx|Minor restricted activity days", US_national_yearly!$D:$AM, 10, FALSE), 1)</f>
        <v>2.7551169254950172E-2</v>
      </c>
      <c r="P14" s="7">
        <f>$B14 * IFERROR(VLOOKUP("transport|NOx|Minor restricted activity days", US_national_yearly!$D:$AM, 24, FALSE) / VLOOKUP("transport|NOx|Minor restricted activity days", US_national_yearly!$D:$AM, 10, FALSE), 1)</f>
        <v>2.7753788230057721E-2</v>
      </c>
      <c r="Q14" s="7">
        <f>$B14 * IFERROR(VLOOKUP("transport|NOx|Minor restricted activity days", US_national_yearly!$D:$AM, 25, FALSE) / VLOOKUP("transport|NOx|Minor restricted activity days", US_national_yearly!$D:$AM, 10, FALSE), 1)</f>
        <v>2.7956407205165266E-2</v>
      </c>
      <c r="R14" s="7">
        <f>$B14 * IFERROR(VLOOKUP("transport|NOx|Minor restricted activity days", US_national_yearly!$D:$AM, 26, FALSE) / VLOOKUP("transport|NOx|Minor restricted activity days", US_national_yearly!$D:$AM, 10, FALSE), 1)</f>
        <v>2.8159026180272811E-2</v>
      </c>
      <c r="S14" s="7">
        <f>$B14 * IFERROR(VLOOKUP("transport|NOx|Minor restricted activity days", US_national_yearly!$D:$AM, 27, FALSE) / VLOOKUP("transport|NOx|Minor restricted activity days", US_national_yearly!$D:$AM, 10, FALSE), 1)</f>
        <v>2.8361602555174517E-2</v>
      </c>
      <c r="T14" s="7">
        <f>$B14 * IFERROR(VLOOKUP("transport|NOx|Minor restricted activity days", US_national_yearly!$D:$AM, 28, FALSE) / VLOOKUP("transport|NOx|Minor restricted activity days", US_national_yearly!$D:$AM, 10, FALSE), 1)</f>
        <v>2.8564178930076213E-2</v>
      </c>
      <c r="U14" s="7">
        <f>$B14 * IFERROR(VLOOKUP("transport|NOx|Minor restricted activity days", US_national_yearly!$D:$AM, 29, FALSE) / VLOOKUP("transport|NOx|Minor restricted activity days", US_national_yearly!$D:$AM, 10, FALSE), 1)</f>
        <v>2.8766755304977919E-2</v>
      </c>
      <c r="V14" s="7">
        <f>$B14 * IFERROR(VLOOKUP("transport|NOx|Minor restricted activity days", US_national_yearly!$D:$AM, 30, FALSE) / VLOOKUP("transport|NOx|Minor restricted activity days", US_national_yearly!$D:$AM, 10, FALSE), 1)</f>
        <v>2.8969331679879622E-2</v>
      </c>
      <c r="W14" s="7">
        <f>$B14 * IFERROR(VLOOKUP("transport|NOx|Minor restricted activity days", US_national_yearly!$D:$AM, 31, FALSE) / VLOOKUP("transport|NOx|Minor restricted activity days", US_national_yearly!$D:$AM, 10, FALSE), 1)</f>
        <v>2.9171908054781318E-2</v>
      </c>
      <c r="X14" s="7">
        <f>$B14 * IFERROR(VLOOKUP("transport|NOx|Minor restricted activity days", US_national_yearly!$D:$AM, 32, FALSE) / VLOOKUP("transport|NOx|Minor restricted activity days", US_national_yearly!$D:$AM, 10, FALSE), 1)</f>
        <v>2.9343178662445596E-2</v>
      </c>
      <c r="Y14" s="7">
        <f>$B14 * IFERROR(VLOOKUP("transport|NOx|Minor restricted activity days", US_national_yearly!$D:$AM, 33, FALSE) / VLOOKUP("transport|NOx|Minor restricted activity days", US_national_yearly!$D:$AM, 10, FALSE), 1)</f>
        <v>2.951444927010987E-2</v>
      </c>
      <c r="Z14" s="7">
        <f>$B14 * IFERROR(VLOOKUP("transport|NOx|Minor restricted activity days", US_national_yearly!$D:$AM, 34, FALSE) / VLOOKUP("transport|NOx|Minor restricted activity days", US_national_yearly!$D:$AM, 10, FALSE), 1)</f>
        <v>2.9685719877774148E-2</v>
      </c>
      <c r="AA14" s="7">
        <f>$B14 * IFERROR(VLOOKUP("transport|NOx|Minor restricted activity days", US_national_yearly!$D:$AM, 35, FALSE) / VLOOKUP("transport|NOx|Minor restricted activity days", US_national_yearly!$D:$AM, 10, FALSE), 1)</f>
        <v>2.9856990485438422E-2</v>
      </c>
      <c r="AB14" s="7">
        <f>$B14 * IFERROR(VLOOKUP("transport|NOx|Minor restricted activity days", US_national_yearly!$D:$AM, 36, FALSE) / VLOOKUP("transport|NOx|Minor restricted activity days", US_national_yearly!$D:$AM, 10, FALSE), 1)</f>
        <v>3.00282610931027E-2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4.4352223258944234E-3</v>
      </c>
      <c r="C15" s="7">
        <f>$B15 * IFERROR(VLOOKUP("transport|NOx|Work loss days", US_national_yearly!$D:$AM, 11, FALSE) / VLOOKUP("transport|NOx|Work loss days", US_national_yearly!$D:$AM, 10, FALSE), 1)</f>
        <v>4.445088239358486E-3</v>
      </c>
      <c r="D15" s="7">
        <f>$B15 * IFERROR(VLOOKUP("transport|NOx|Work loss days", US_national_yearly!$D:$AM, 12, FALSE) / VLOOKUP("transport|NOx|Work loss days", US_national_yearly!$D:$AM, 10, FALSE), 1)</f>
        <v>4.4549541528225503E-3</v>
      </c>
      <c r="E15" s="7">
        <f>$B15 * IFERROR(VLOOKUP("transport|NOx|Work loss days", US_national_yearly!$D:$AM, 13, FALSE) / VLOOKUP("transport|NOx|Work loss days", US_national_yearly!$D:$AM, 10, FALSE), 1)</f>
        <v>4.4648200662866129E-3</v>
      </c>
      <c r="F15" s="7">
        <f>$B15 * IFERROR(VLOOKUP("transport|NOx|Work loss days", US_national_yearly!$D:$AM, 14, FALSE) / VLOOKUP("transport|NOx|Work loss days", US_national_yearly!$D:$AM, 10, FALSE), 1)</f>
        <v>4.4746859797506772E-3</v>
      </c>
      <c r="G15" s="7">
        <f>$B15 * IFERROR(VLOOKUP("transport|NOx|Work loss days", US_national_yearly!$D:$AM, 15, FALSE) / VLOOKUP("transport|NOx|Work loss days", US_national_yearly!$D:$AM, 10, FALSE), 1)</f>
        <v>4.4890902975688318E-3</v>
      </c>
      <c r="H15" s="7">
        <f>$B15 * IFERROR(VLOOKUP("transport|NOx|Work loss days", US_national_yearly!$D:$AM, 16, FALSE) / VLOOKUP("transport|NOx|Work loss days", US_national_yearly!$D:$AM, 10, FALSE), 1)</f>
        <v>4.5034946153869873E-3</v>
      </c>
      <c r="I15" s="7">
        <f>$B15 * IFERROR(VLOOKUP("transport|NOx|Work loss days", US_national_yearly!$D:$AM, 17, FALSE) / VLOOKUP("transport|NOx|Work loss days", US_national_yearly!$D:$AM, 10, FALSE), 1)</f>
        <v>4.5268288295928685E-3</v>
      </c>
      <c r="J15" s="7">
        <f>$B15 * IFERROR(VLOOKUP("transport|NOx|Work loss days", US_national_yearly!$D:$AM, 18, FALSE) / VLOOKUP("transport|NOx|Work loss days", US_national_yearly!$D:$AM, 10, FALSE), 1)</f>
        <v>4.5501630437987505E-3</v>
      </c>
      <c r="K15" s="7">
        <f>$B15 * IFERROR(VLOOKUP("transport|NOx|Work loss days", US_national_yearly!$D:$AM, 19, FALSE) / VLOOKUP("transport|NOx|Work loss days", US_national_yearly!$D:$AM, 10, FALSE), 1)</f>
        <v>4.5734972580046308E-3</v>
      </c>
      <c r="L15" s="7">
        <f>$B15 * IFERROR(VLOOKUP("transport|NOx|Work loss days", US_national_yearly!$D:$AM, 20, FALSE) / VLOOKUP("transport|NOx|Work loss days", US_national_yearly!$D:$AM, 10, FALSE), 1)</f>
        <v>4.596831472210512E-3</v>
      </c>
      <c r="M15" s="7">
        <f>$B15 * IFERROR(VLOOKUP("transport|NOx|Work loss days", US_national_yearly!$D:$AM, 21, FALSE) / VLOOKUP("transport|NOx|Work loss days", US_national_yearly!$D:$AM, 10, FALSE), 1)</f>
        <v>4.6201656864163941E-3</v>
      </c>
      <c r="N15" s="7">
        <f>$B15 * IFERROR(VLOOKUP("transport|NOx|Work loss days", US_national_yearly!$D:$AM, 22, FALSE) / VLOOKUP("transport|NOx|Work loss days", US_national_yearly!$D:$AM, 10, FALSE), 1)</f>
        <v>4.6505337343541852E-3</v>
      </c>
      <c r="O15" s="7">
        <f>$B15 * IFERROR(VLOOKUP("transport|NOx|Work loss days", US_national_yearly!$D:$AM, 23, FALSE) / VLOOKUP("transport|NOx|Work loss days", US_national_yearly!$D:$AM, 10, FALSE), 1)</f>
        <v>4.6809017822919772E-3</v>
      </c>
      <c r="P15" s="7">
        <f>$B15 * IFERROR(VLOOKUP("transport|NOx|Work loss days", US_national_yearly!$D:$AM, 24, FALSE) / VLOOKUP("transport|NOx|Work loss days", US_national_yearly!$D:$AM, 10, FALSE), 1)</f>
        <v>4.7112698302297683E-3</v>
      </c>
      <c r="Q15" s="7">
        <f>$B15 * IFERROR(VLOOKUP("transport|NOx|Work loss days", US_national_yearly!$D:$AM, 25, FALSE) / VLOOKUP("transport|NOx|Work loss days", US_national_yearly!$D:$AM, 10, FALSE), 1)</f>
        <v>4.7416378781675594E-3</v>
      </c>
      <c r="R15" s="7">
        <f>$B15 * IFERROR(VLOOKUP("transport|NOx|Work loss days", US_national_yearly!$D:$AM, 26, FALSE) / VLOOKUP("transport|NOx|Work loss days", US_national_yearly!$D:$AM, 10, FALSE), 1)</f>
        <v>4.7720059261053514E-3</v>
      </c>
      <c r="S15" s="7">
        <f>$B15 * IFERROR(VLOOKUP("transport|NOx|Work loss days", US_national_yearly!$D:$AM, 27, FALSE) / VLOOKUP("transport|NOx|Work loss days", US_national_yearly!$D:$AM, 10, FALSE), 1)</f>
        <v>4.8058624166365015E-3</v>
      </c>
      <c r="T15" s="7">
        <f>$B15 * IFERROR(VLOOKUP("transport|NOx|Work loss days", US_national_yearly!$D:$AM, 28, FALSE) / VLOOKUP("transport|NOx|Work loss days", US_national_yearly!$D:$AM, 10, FALSE), 1)</f>
        <v>4.8397189071676516E-3</v>
      </c>
      <c r="U15" s="7">
        <f>$B15 * IFERROR(VLOOKUP("transport|NOx|Work loss days", US_national_yearly!$D:$AM, 29, FALSE) / VLOOKUP("transport|NOx|Work loss days", US_national_yearly!$D:$AM, 10, FALSE), 1)</f>
        <v>4.8735753976987999E-3</v>
      </c>
      <c r="V15" s="7">
        <f>$B15 * IFERROR(VLOOKUP("transport|NOx|Work loss days", US_national_yearly!$D:$AM, 30, FALSE) / VLOOKUP("transport|NOx|Work loss days", US_national_yearly!$D:$AM, 10, FALSE), 1)</f>
        <v>4.90743188822995E-3</v>
      </c>
      <c r="W15" s="7">
        <f>$B15 * IFERROR(VLOOKUP("transport|NOx|Work loss days", US_national_yearly!$D:$AM, 31, FALSE) / VLOOKUP("transport|NOx|Work loss days", US_national_yearly!$D:$AM, 10, FALSE), 1)</f>
        <v>4.9412883787611E-3</v>
      </c>
      <c r="X15" s="7">
        <f>$B15 * IFERROR(VLOOKUP("transport|NOx|Work loss days", US_national_yearly!$D:$AM, 32, FALSE) / VLOOKUP("transport|NOx|Work loss days", US_national_yearly!$D:$AM, 10, FALSE), 1)</f>
        <v>4.9706740074244157E-3</v>
      </c>
      <c r="Y15" s="7">
        <f>$B15 * IFERROR(VLOOKUP("transport|NOx|Work loss days", US_national_yearly!$D:$AM, 33, FALSE) / VLOOKUP("transport|NOx|Work loss days", US_national_yearly!$D:$AM, 10, FALSE), 1)</f>
        <v>5.0000596360877305E-3</v>
      </c>
      <c r="Z15" s="7">
        <f>$B15 * IFERROR(VLOOKUP("transport|NOx|Work loss days", US_national_yearly!$D:$AM, 34, FALSE) / VLOOKUP("transport|NOx|Work loss days", US_national_yearly!$D:$AM, 10, FALSE), 1)</f>
        <v>5.0294452647510462E-3</v>
      </c>
      <c r="AA15" s="7">
        <f>$B15 * IFERROR(VLOOKUP("transport|NOx|Work loss days", US_national_yearly!$D:$AM, 35, FALSE) / VLOOKUP("transport|NOx|Work loss days", US_national_yearly!$D:$AM, 10, FALSE), 1)</f>
        <v>5.0588308934143619E-3</v>
      </c>
      <c r="AB15" s="7">
        <f>$B15 * IFERROR(VLOOKUP("transport|NOx|Work loss days", US_national_yearly!$D:$AM, 36, FALSE) / VLOOKUP("transport|NOx|Work loss days", US_national_yearly!$D:$AM, 10, FALSE), 1)</f>
        <v>5.0882165220776775E-3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7.3478443936905544E-6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7.5637580951093694E-6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7.7796717965281826E-6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7.9955854979469976E-6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8.2114991993658126E-6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8.4165815090720018E-6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8.6216638187781927E-6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8.7941222200339041E-6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8.9665806212896139E-6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9.1390390225453253E-6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9.3114974238010367E-6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9.4839558250567481E-6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9.5917997777341333E-6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9.6996437304115185E-6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9.8074876830889037E-6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9.9153316357662906E-6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1.0023175588443674E-5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1.0072381822603585E-5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1.0121588056763495E-5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1.0170794290923404E-5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1.0220000525083314E-5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1.0269206759243223E-5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1.0296591734514399E-5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1.0323976709785575E-5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1.0351361685056752E-5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1.0378746660327928E-5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1.0406131635599104E-5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2.396989470127116E-4</v>
      </c>
      <c r="C2" s="7">
        <f>$B2 * IFERROR(VLOOKUP("transport|SO2|Premature mortality", US_national_yearly!$D:$AM, 11, FALSE) / VLOOKUP("transport|SO2|Premature mortality", US_national_yearly!$D:$AM, 10, FALSE), 1)</f>
        <v>2.4273460448405324E-4</v>
      </c>
      <c r="D2" s="7">
        <f>$B2 * IFERROR(VLOOKUP("transport|SO2|Premature mortality", US_national_yearly!$D:$AM, 12, FALSE) / VLOOKUP("transport|SO2|Premature mortality", US_national_yearly!$D:$AM, 10, FALSE), 1)</f>
        <v>2.4577026195539496E-4</v>
      </c>
      <c r="E2" s="7">
        <f>$B2 * IFERROR(VLOOKUP("transport|SO2|Premature mortality", US_national_yearly!$D:$AM, 13, FALSE) / VLOOKUP("transport|SO2|Premature mortality", US_national_yearly!$D:$AM, 10, FALSE), 1)</f>
        <v>2.4880591942673657E-4</v>
      </c>
      <c r="F2" s="7">
        <f>$B2 * IFERROR(VLOOKUP("transport|SO2|Premature mortality", US_national_yearly!$D:$AM, 14, FALSE) / VLOOKUP("transport|SO2|Premature mortality", US_national_yearly!$D:$AM, 10, FALSE), 1)</f>
        <v>2.5184157689807823E-4</v>
      </c>
      <c r="G2" s="7">
        <f>$B2 * IFERROR(VLOOKUP("transport|SO2|Premature mortality", US_national_yearly!$D:$AM, 15, FALSE) / VLOOKUP("transport|SO2|Premature mortality", US_national_yearly!$D:$AM, 10, FALSE), 1)</f>
        <v>2.5769111680295207E-4</v>
      </c>
      <c r="H2" s="7">
        <f>$B2 * IFERROR(VLOOKUP("transport|SO2|Premature mortality", US_national_yearly!$D:$AM, 16, FALSE) / VLOOKUP("transport|SO2|Premature mortality", US_national_yearly!$D:$AM, 10, FALSE), 1)</f>
        <v>2.6354065670782591E-4</v>
      </c>
      <c r="I2" s="7">
        <f>$B2 * IFERROR(VLOOKUP("transport|SO2|Premature mortality", US_national_yearly!$D:$AM, 17, FALSE) / VLOOKUP("transport|SO2|Premature mortality", US_national_yearly!$D:$AM, 10, FALSE), 1)</f>
        <v>2.6740639110178831E-4</v>
      </c>
      <c r="J2" s="7">
        <f>$B2 * IFERROR(VLOOKUP("transport|SO2|Premature mortality", US_national_yearly!$D:$AM, 18, FALSE) / VLOOKUP("transport|SO2|Premature mortality", US_national_yearly!$D:$AM, 10, FALSE), 1)</f>
        <v>2.7127212549575075E-4</v>
      </c>
      <c r="K2" s="7">
        <f>$B2 * IFERROR(VLOOKUP("transport|SO2|Premature mortality", US_national_yearly!$D:$AM, 19, FALSE) / VLOOKUP("transport|SO2|Premature mortality", US_national_yearly!$D:$AM, 10, FALSE), 1)</f>
        <v>2.751378598897131E-4</v>
      </c>
      <c r="L2" s="7">
        <f>$B2 * IFERROR(VLOOKUP("transport|SO2|Premature mortality", US_national_yearly!$D:$AM, 20, FALSE) / VLOOKUP("transport|SO2|Premature mortality", US_national_yearly!$D:$AM, 10, FALSE), 1)</f>
        <v>2.7900359428367555E-4</v>
      </c>
      <c r="M2" s="7">
        <f>$B2 * IFERROR(VLOOKUP("transport|SO2|Premature mortality", US_national_yearly!$D:$AM, 21, FALSE) / VLOOKUP("transport|SO2|Premature mortality", US_national_yearly!$D:$AM, 10, FALSE), 1)</f>
        <v>2.8286932867763794E-4</v>
      </c>
      <c r="N2" s="7">
        <f>$B2 * IFERROR(VLOOKUP("transport|SO2|Premature mortality", US_national_yearly!$D:$AM, 22, FALSE) / VLOOKUP("transport|SO2|Premature mortality", US_national_yearly!$D:$AM, 10, FALSE), 1)</f>
        <v>2.8588980384510582E-4</v>
      </c>
      <c r="O2" s="7">
        <f>$B2 * IFERROR(VLOOKUP("transport|SO2|Premature mortality", US_national_yearly!$D:$AM, 23, FALSE) / VLOOKUP("transport|SO2|Premature mortality", US_national_yearly!$D:$AM, 10, FALSE), 1)</f>
        <v>2.8891027901257376E-4</v>
      </c>
      <c r="P2" s="7">
        <f>$B2 * IFERROR(VLOOKUP("transport|SO2|Premature mortality", US_national_yearly!$D:$AM, 24, FALSE) / VLOOKUP("transport|SO2|Premature mortality", US_national_yearly!$D:$AM, 10, FALSE), 1)</f>
        <v>2.9193075418004164E-4</v>
      </c>
      <c r="Q2" s="7">
        <f>$B2 * IFERROR(VLOOKUP("transport|SO2|Premature mortality", US_national_yearly!$D:$AM, 25, FALSE) / VLOOKUP("transport|SO2|Premature mortality", US_national_yearly!$D:$AM, 10, FALSE), 1)</f>
        <v>2.9495122934750957E-4</v>
      </c>
      <c r="R2" s="7">
        <f>$B2 * IFERROR(VLOOKUP("transport|SO2|Premature mortality", US_national_yearly!$D:$AM, 26, FALSE) / VLOOKUP("transport|SO2|Premature mortality", US_national_yearly!$D:$AM, 10, FALSE), 1)</f>
        <v>2.979717045149774E-4</v>
      </c>
      <c r="S2" s="7">
        <f>$B2 * IFERROR(VLOOKUP("transport|SO2|Premature mortality", US_national_yearly!$D:$AM, 27, FALSE) / VLOOKUP("transport|SO2|Premature mortality", US_national_yearly!$D:$AM, 10, FALSE), 1)</f>
        <v>2.9958920918538517E-4</v>
      </c>
      <c r="T2" s="7">
        <f>$B2 * IFERROR(VLOOKUP("transport|SO2|Premature mortality", US_national_yearly!$D:$AM, 28, FALSE) / VLOOKUP("transport|SO2|Premature mortality", US_national_yearly!$D:$AM, 10, FALSE), 1)</f>
        <v>3.0120671385579288E-4</v>
      </c>
      <c r="U2" s="7">
        <f>$B2 * IFERROR(VLOOKUP("transport|SO2|Premature mortality", US_national_yearly!$D:$AM, 29, FALSE) / VLOOKUP("transport|SO2|Premature mortality", US_national_yearly!$D:$AM, 10, FALSE), 1)</f>
        <v>3.0282421852620059E-4</v>
      </c>
      <c r="V2" s="7">
        <f>$B2 * IFERROR(VLOOKUP("transport|SO2|Premature mortality", US_national_yearly!$D:$AM, 30, FALSE) / VLOOKUP("transport|SO2|Premature mortality", US_national_yearly!$D:$AM, 10, FALSE), 1)</f>
        <v>3.0444172319660825E-4</v>
      </c>
      <c r="W2" s="7">
        <f>$B2 * IFERROR(VLOOKUP("transport|SO2|Premature mortality", US_national_yearly!$D:$AM, 31, FALSE) / VLOOKUP("transport|SO2|Premature mortality", US_national_yearly!$D:$AM, 10, FALSE), 1)</f>
        <v>3.0605922786701602E-4</v>
      </c>
      <c r="X2" s="7">
        <f>$B2 * IFERROR(VLOOKUP("transport|SO2|Premature mortality", US_national_yearly!$D:$AM, 32, FALSE) / VLOOKUP("transport|SO2|Premature mortality", US_national_yearly!$D:$AM, 10, FALSE), 1)</f>
        <v>3.0638782888838407E-4</v>
      </c>
      <c r="Y2" s="7">
        <f>$B2 * IFERROR(VLOOKUP("transport|SO2|Premature mortality", US_national_yearly!$D:$AM, 33, FALSE) / VLOOKUP("transport|SO2|Premature mortality", US_national_yearly!$D:$AM, 10, FALSE), 1)</f>
        <v>3.0671642990975212E-4</v>
      </c>
      <c r="Z2" s="7">
        <f>$B2 * IFERROR(VLOOKUP("transport|SO2|Premature mortality", US_national_yearly!$D:$AM, 34, FALSE) / VLOOKUP("transport|SO2|Premature mortality", US_national_yearly!$D:$AM, 10, FALSE), 1)</f>
        <v>3.0704503093112023E-4</v>
      </c>
      <c r="AA2" s="7">
        <f>$B2 * IFERROR(VLOOKUP("transport|SO2|Premature mortality", US_national_yearly!$D:$AM, 35, FALSE) / VLOOKUP("transport|SO2|Premature mortality", US_national_yearly!$D:$AM, 10, FALSE), 1)</f>
        <v>3.0737363195248828E-4</v>
      </c>
      <c r="AB2" s="7">
        <f>$B2 * IFERROR(VLOOKUP("transport|SO2|Premature mortality", US_national_yearly!$D:$AM, 36, FALSE) / VLOOKUP("transport|SO2|Premature mortality", US_national_yearly!$D:$AM, 10, FALSE), 1)</f>
        <v>3.0770223297385633E-4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7.5624502321313277E-7</v>
      </c>
      <c r="C3" s="7">
        <f>$B3 * IFERROR(VLOOKUP("transport|SO2|Infant mortality", US_national_yearly!$D:$AM, 11, FALSE) / VLOOKUP("transport|SO2|Infant mortality", US_national_yearly!$D:$AM, 10, FALSE), 1)</f>
        <v>7.4974874052042666E-7</v>
      </c>
      <c r="D3" s="7">
        <f>$B3 * IFERROR(VLOOKUP("transport|SO2|Infant mortality", US_national_yearly!$D:$AM, 12, FALSE) / VLOOKUP("transport|SO2|Infant mortality", US_national_yearly!$D:$AM, 10, FALSE), 1)</f>
        <v>7.4325245782772076E-7</v>
      </c>
      <c r="E3" s="7">
        <f>$B3 * IFERROR(VLOOKUP("transport|SO2|Infant mortality", US_national_yearly!$D:$AM, 13, FALSE) / VLOOKUP("transport|SO2|Infant mortality", US_national_yearly!$D:$AM, 10, FALSE), 1)</f>
        <v>7.3675617513501455E-7</v>
      </c>
      <c r="F3" s="7">
        <f>$B3 * IFERROR(VLOOKUP("transport|SO2|Infant mortality", US_national_yearly!$D:$AM, 14, FALSE) / VLOOKUP("transport|SO2|Infant mortality", US_national_yearly!$D:$AM, 10, FALSE), 1)</f>
        <v>7.3025989244230865E-7</v>
      </c>
      <c r="G3" s="7">
        <f>$B3 * IFERROR(VLOOKUP("transport|SO2|Infant mortality", US_national_yearly!$D:$AM, 15, FALSE) / VLOOKUP("transport|SO2|Infant mortality", US_national_yearly!$D:$AM, 10, FALSE), 1)</f>
        <v>4.8641190465262999E-7</v>
      </c>
      <c r="H3" s="7">
        <f>$B3 * IFERROR(VLOOKUP("transport|SO2|Infant mortality", US_national_yearly!$D:$AM, 16, FALSE) / VLOOKUP("transport|SO2|Infant mortality", US_national_yearly!$D:$AM, 10, FALSE), 1)</f>
        <v>2.4256391686295186E-7</v>
      </c>
      <c r="I3" s="7">
        <f>$B3 * IFERROR(VLOOKUP("transport|SO2|Infant mortality", US_national_yearly!$D:$AM, 17, FALSE) / VLOOKUP("transport|SO2|Infant mortality", US_national_yearly!$D:$AM, 10, FALSE), 1)</f>
        <v>2.4104224016445655E-7</v>
      </c>
      <c r="J3" s="7">
        <f>$B3 * IFERROR(VLOOKUP("transport|SO2|Infant mortality", US_national_yearly!$D:$AM, 18, FALSE) / VLOOKUP("transport|SO2|Infant mortality", US_national_yearly!$D:$AM, 10, FALSE), 1)</f>
        <v>2.3952056346596124E-7</v>
      </c>
      <c r="K3" s="7">
        <f>$B3 * IFERROR(VLOOKUP("transport|SO2|Infant mortality", US_national_yearly!$D:$AM, 19, FALSE) / VLOOKUP("transport|SO2|Infant mortality", US_national_yearly!$D:$AM, 10, FALSE), 1)</f>
        <v>2.3799888676746592E-7</v>
      </c>
      <c r="L3" s="7">
        <f>$B3 * IFERROR(VLOOKUP("transport|SO2|Infant mortality", US_national_yearly!$D:$AM, 20, FALSE) / VLOOKUP("transport|SO2|Infant mortality", US_national_yearly!$D:$AM, 10, FALSE), 1)</f>
        <v>2.3647721006897066E-7</v>
      </c>
      <c r="M3" s="7">
        <f>$B3 * IFERROR(VLOOKUP("transport|SO2|Infant mortality", US_national_yearly!$D:$AM, 21, FALSE) / VLOOKUP("transport|SO2|Infant mortality", US_national_yearly!$D:$AM, 10, FALSE), 1)</f>
        <v>2.3495553337047535E-7</v>
      </c>
      <c r="N3" s="7">
        <f>$B3 * IFERROR(VLOOKUP("transport|SO2|Infant mortality", US_national_yearly!$D:$AM, 22, FALSE) / VLOOKUP("transport|SO2|Infant mortality", US_national_yearly!$D:$AM, 10, FALSE), 1)</f>
        <v>2.3400038829910931E-7</v>
      </c>
      <c r="O3" s="7">
        <f>$B3 * IFERROR(VLOOKUP("transport|SO2|Infant mortality", US_national_yearly!$D:$AM, 23, FALSE) / VLOOKUP("transport|SO2|Infant mortality", US_national_yearly!$D:$AM, 10, FALSE), 1)</f>
        <v>2.330452432277433E-7</v>
      </c>
      <c r="P3" s="7">
        <f>$B3 * IFERROR(VLOOKUP("transport|SO2|Infant mortality", US_national_yearly!$D:$AM, 24, FALSE) / VLOOKUP("transport|SO2|Infant mortality", US_national_yearly!$D:$AM, 10, FALSE), 1)</f>
        <v>2.320900981563772E-7</v>
      </c>
      <c r="Q3" s="7">
        <f>$B3 * IFERROR(VLOOKUP("transport|SO2|Infant mortality", US_national_yearly!$D:$AM, 25, FALSE) / VLOOKUP("transport|SO2|Infant mortality", US_national_yearly!$D:$AM, 10, FALSE), 1)</f>
        <v>2.3113495308501116E-7</v>
      </c>
      <c r="R3" s="7">
        <f>$B3 * IFERROR(VLOOKUP("transport|SO2|Infant mortality", US_national_yearly!$D:$AM, 26, FALSE) / VLOOKUP("transport|SO2|Infant mortality", US_national_yearly!$D:$AM, 10, FALSE), 1)</f>
        <v>2.301798080136451E-7</v>
      </c>
      <c r="S3" s="7">
        <f>$B3 * IFERROR(VLOOKUP("transport|SO2|Infant mortality", US_national_yearly!$D:$AM, 27, FALSE) / VLOOKUP("transport|SO2|Infant mortality", US_national_yearly!$D:$AM, 10, FALSE), 1)</f>
        <v>2.289805651878617E-7</v>
      </c>
      <c r="T3" s="7">
        <f>$B3 * IFERROR(VLOOKUP("transport|SO2|Infant mortality", US_national_yearly!$D:$AM, 28, FALSE) / VLOOKUP("transport|SO2|Infant mortality", US_national_yearly!$D:$AM, 10, FALSE), 1)</f>
        <v>2.2778132236207831E-7</v>
      </c>
      <c r="U3" s="7">
        <f>$B3 * IFERROR(VLOOKUP("transport|SO2|Infant mortality", US_national_yearly!$D:$AM, 29, FALSE) / VLOOKUP("transport|SO2|Infant mortality", US_national_yearly!$D:$AM, 10, FALSE), 1)</f>
        <v>2.2658207953629481E-7</v>
      </c>
      <c r="V3" s="7">
        <f>$B3 * IFERROR(VLOOKUP("transport|SO2|Infant mortality", US_national_yearly!$D:$AM, 30, FALSE) / VLOOKUP("transport|SO2|Infant mortality", US_national_yearly!$D:$AM, 10, FALSE), 1)</f>
        <v>2.2538283671051147E-7</v>
      </c>
      <c r="W3" s="7">
        <f>$B3 * IFERROR(VLOOKUP("transport|SO2|Infant mortality", US_national_yearly!$D:$AM, 31, FALSE) / VLOOKUP("transport|SO2|Infant mortality", US_national_yearly!$D:$AM, 10, FALSE), 1)</f>
        <v>2.2418359388472803E-7</v>
      </c>
      <c r="X3" s="7">
        <f>$B3 * IFERROR(VLOOKUP("transport|SO2|Infant mortality", US_national_yearly!$D:$AM, 32, FALSE) / VLOOKUP("transport|SO2|Infant mortality", US_national_yearly!$D:$AM, 10, FALSE), 1)</f>
        <v>2.2287245130337918E-7</v>
      </c>
      <c r="Y3" s="7">
        <f>$B3 * IFERROR(VLOOKUP("transport|SO2|Infant mortality", US_national_yearly!$D:$AM, 33, FALSE) / VLOOKUP("transport|SO2|Infant mortality", US_national_yearly!$D:$AM, 10, FALSE), 1)</f>
        <v>2.2156130872203022E-7</v>
      </c>
      <c r="Z3" s="7">
        <f>$B3 * IFERROR(VLOOKUP("transport|SO2|Infant mortality", US_national_yearly!$D:$AM, 34, FALSE) / VLOOKUP("transport|SO2|Infant mortality", US_national_yearly!$D:$AM, 10, FALSE), 1)</f>
        <v>2.2025016614068134E-7</v>
      </c>
      <c r="AA3" s="7">
        <f>$B3 * IFERROR(VLOOKUP("transport|SO2|Infant mortality", US_national_yearly!$D:$AM, 35, FALSE) / VLOOKUP("transport|SO2|Infant mortality", US_national_yearly!$D:$AM, 10, FALSE), 1)</f>
        <v>2.1893902355933239E-7</v>
      </c>
      <c r="AB3" s="7">
        <f>$B3 * IFERROR(VLOOKUP("transport|SO2|Infant mortality", US_national_yearly!$D:$AM, 36, FALSE) / VLOOKUP("transport|SO2|Infant mortality", US_national_yearly!$D:$AM, 10, FALSE), 1)</f>
        <v>2.1762788097798351E-7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7.3156658851998774E-4</v>
      </c>
      <c r="C6" s="7">
        <f>$B6 * IFERROR(VLOOKUP("transport|SO2|Asthma symptoms cough", US_national_yearly!$D:$AM, 11, FALSE) / VLOOKUP("transport|SO2|Asthma symptoms cough", US_national_yearly!$D:$AM, 10, FALSE), 1)</f>
        <v>7.3156658851998774E-4</v>
      </c>
      <c r="D6" s="7">
        <f>$B6 * IFERROR(VLOOKUP("transport|SO2|Asthma symptoms cough", US_national_yearly!$D:$AM, 12, FALSE) / VLOOKUP("transport|SO2|Asthma symptoms cough", US_national_yearly!$D:$AM, 10, FALSE), 1)</f>
        <v>7.3156658851998774E-4</v>
      </c>
      <c r="E6" s="7">
        <f>$B6 * IFERROR(VLOOKUP("transport|SO2|Asthma symptoms cough", US_national_yearly!$D:$AM, 13, FALSE) / VLOOKUP("transport|SO2|Asthma symptoms cough", US_national_yearly!$D:$AM, 10, FALSE), 1)</f>
        <v>7.3156658851998774E-4</v>
      </c>
      <c r="F6" s="7">
        <f>$B6 * IFERROR(VLOOKUP("transport|SO2|Asthma symptoms cough", US_national_yearly!$D:$AM, 14, FALSE) / VLOOKUP("transport|SO2|Asthma symptoms cough", US_national_yearly!$D:$AM, 10, FALSE), 1)</f>
        <v>7.3156658851998774E-4</v>
      </c>
      <c r="G6" s="7">
        <f>$B6 * IFERROR(VLOOKUP("transport|SO2|Asthma symptoms cough", US_national_yearly!$D:$AM, 15, FALSE) / VLOOKUP("transport|SO2|Asthma symptoms cough", US_national_yearly!$D:$AM, 10, FALSE), 1)</f>
        <v>7.3156658851998774E-4</v>
      </c>
      <c r="H6" s="7">
        <f>$B6 * IFERROR(VLOOKUP("transport|SO2|Asthma symptoms cough", US_national_yearly!$D:$AM, 16, FALSE) / VLOOKUP("transport|SO2|Asthma symptoms cough", US_national_yearly!$D:$AM, 10, FALSE), 1)</f>
        <v>7.3156658851998774E-4</v>
      </c>
      <c r="I6" s="7">
        <f>$B6 * IFERROR(VLOOKUP("transport|SO2|Asthma symptoms cough", US_national_yearly!$D:$AM, 17, FALSE) / VLOOKUP("transport|SO2|Asthma symptoms cough", US_national_yearly!$D:$AM, 10, FALSE), 1)</f>
        <v>7.3156658851998774E-4</v>
      </c>
      <c r="J6" s="7">
        <f>$B6 * IFERROR(VLOOKUP("transport|SO2|Asthma symptoms cough", US_national_yearly!$D:$AM, 18, FALSE) / VLOOKUP("transport|SO2|Asthma symptoms cough", US_national_yearly!$D:$AM, 10, FALSE), 1)</f>
        <v>7.3156658851998774E-4</v>
      </c>
      <c r="K6" s="7">
        <f>$B6 * IFERROR(VLOOKUP("transport|SO2|Asthma symptoms cough", US_national_yearly!$D:$AM, 19, FALSE) / VLOOKUP("transport|SO2|Asthma symptoms cough", US_national_yearly!$D:$AM, 10, FALSE), 1)</f>
        <v>7.3156658851998774E-4</v>
      </c>
      <c r="L6" s="7">
        <f>$B6 * IFERROR(VLOOKUP("transport|SO2|Asthma symptoms cough", US_national_yearly!$D:$AM, 20, FALSE) / VLOOKUP("transport|SO2|Asthma symptoms cough", US_national_yearly!$D:$AM, 10, FALSE), 1)</f>
        <v>7.3156658851998774E-4</v>
      </c>
      <c r="M6" s="7">
        <f>$B6 * IFERROR(VLOOKUP("transport|SO2|Asthma symptoms cough", US_national_yearly!$D:$AM, 21, FALSE) / VLOOKUP("transport|SO2|Asthma symptoms cough", US_national_yearly!$D:$AM, 10, FALSE), 1)</f>
        <v>7.3156658851998774E-4</v>
      </c>
      <c r="N6" s="7">
        <f>$B6 * IFERROR(VLOOKUP("transport|SO2|Asthma symptoms cough", US_national_yearly!$D:$AM, 22, FALSE) / VLOOKUP("transport|SO2|Asthma symptoms cough", US_national_yearly!$D:$AM, 10, FALSE), 1)</f>
        <v>7.3156658851998774E-4</v>
      </c>
      <c r="O6" s="7">
        <f>$B6 * IFERROR(VLOOKUP("transport|SO2|Asthma symptoms cough", US_national_yearly!$D:$AM, 23, FALSE) / VLOOKUP("transport|SO2|Asthma symptoms cough", US_national_yearly!$D:$AM, 10, FALSE), 1)</f>
        <v>7.3156658851998774E-4</v>
      </c>
      <c r="P6" s="7">
        <f>$B6 * IFERROR(VLOOKUP("transport|SO2|Asthma symptoms cough", US_national_yearly!$D:$AM, 24, FALSE) / VLOOKUP("transport|SO2|Asthma symptoms cough", US_national_yearly!$D:$AM, 10, FALSE), 1)</f>
        <v>7.3156658851998774E-4</v>
      </c>
      <c r="Q6" s="7">
        <f>$B6 * IFERROR(VLOOKUP("transport|SO2|Asthma symptoms cough", US_national_yearly!$D:$AM, 25, FALSE) / VLOOKUP("transport|SO2|Asthma symptoms cough", US_national_yearly!$D:$AM, 10, FALSE), 1)</f>
        <v>7.3156658851998774E-4</v>
      </c>
      <c r="R6" s="7">
        <f>$B6 * IFERROR(VLOOKUP("transport|SO2|Asthma symptoms cough", US_national_yearly!$D:$AM, 26, FALSE) / VLOOKUP("transport|SO2|Asthma symptoms cough", US_national_yearly!$D:$AM, 10, FALSE), 1)</f>
        <v>7.3156658851998774E-4</v>
      </c>
      <c r="S6" s="7">
        <f>$B6 * IFERROR(VLOOKUP("transport|SO2|Asthma symptoms cough", US_national_yearly!$D:$AM, 27, FALSE) / VLOOKUP("transport|SO2|Asthma symptoms cough", US_national_yearly!$D:$AM, 10, FALSE), 1)</f>
        <v>7.3156658851998774E-4</v>
      </c>
      <c r="T6" s="7">
        <f>$B6 * IFERROR(VLOOKUP("transport|SO2|Asthma symptoms cough", US_national_yearly!$D:$AM, 28, FALSE) / VLOOKUP("transport|SO2|Asthma symptoms cough", US_national_yearly!$D:$AM, 10, FALSE), 1)</f>
        <v>7.3156658851998774E-4</v>
      </c>
      <c r="U6" s="7">
        <f>$B6 * IFERROR(VLOOKUP("transport|SO2|Asthma symptoms cough", US_national_yearly!$D:$AM, 29, FALSE) / VLOOKUP("transport|SO2|Asthma symptoms cough", US_national_yearly!$D:$AM, 10, FALSE), 1)</f>
        <v>7.3156658851998774E-4</v>
      </c>
      <c r="V6" s="7">
        <f>$B6 * IFERROR(VLOOKUP("transport|SO2|Asthma symptoms cough", US_national_yearly!$D:$AM, 30, FALSE) / VLOOKUP("transport|SO2|Asthma symptoms cough", US_national_yearly!$D:$AM, 10, FALSE), 1)</f>
        <v>7.3156658851998774E-4</v>
      </c>
      <c r="W6" s="7">
        <f>$B6 * IFERROR(VLOOKUP("transport|SO2|Asthma symptoms cough", US_national_yearly!$D:$AM, 31, FALSE) / VLOOKUP("transport|SO2|Asthma symptoms cough", US_national_yearly!$D:$AM, 10, FALSE), 1)</f>
        <v>7.3156658851998774E-4</v>
      </c>
      <c r="X6" s="7">
        <f>$B6 * IFERROR(VLOOKUP("transport|SO2|Asthma symptoms cough", US_national_yearly!$D:$AM, 32, FALSE) / VLOOKUP("transport|SO2|Asthma symptoms cough", US_national_yearly!$D:$AM, 10, FALSE), 1)</f>
        <v>7.3156658851998774E-4</v>
      </c>
      <c r="Y6" s="7">
        <f>$B6 * IFERROR(VLOOKUP("transport|SO2|Asthma symptoms cough", US_national_yearly!$D:$AM, 33, FALSE) / VLOOKUP("transport|SO2|Asthma symptoms cough", US_national_yearly!$D:$AM, 10, FALSE), 1)</f>
        <v>7.3156658851998774E-4</v>
      </c>
      <c r="Z6" s="7">
        <f>$B6 * IFERROR(VLOOKUP("transport|SO2|Asthma symptoms cough", US_national_yearly!$D:$AM, 34, FALSE) / VLOOKUP("transport|SO2|Asthma symptoms cough", US_national_yearly!$D:$AM, 10, FALSE), 1)</f>
        <v>7.3156658851998774E-4</v>
      </c>
      <c r="AA6" s="7">
        <f>$B6 * IFERROR(VLOOKUP("transport|SO2|Asthma symptoms cough", US_national_yearly!$D:$AM, 35, FALSE) / VLOOKUP("transport|SO2|Asthma symptoms cough", US_national_yearly!$D:$AM, 10, FALSE), 1)</f>
        <v>7.3156658851998774E-4</v>
      </c>
      <c r="AB6" s="7">
        <f>$B6 * IFERROR(VLOOKUP("transport|SO2|Asthma symptoms cough", US_national_yearly!$D:$AM, 36, FALSE) / VLOOKUP("transport|SO2|Asthma symptoms cough", US_national_yearly!$D:$AM, 10, FALSE), 1)</f>
        <v>7.3156658851998774E-4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9.851618523329731E-4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9.851618523329731E-4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9.851618523329731E-4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9.851618523329731E-4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9.851618523329731E-4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9.851618523329731E-4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9.851618523329731E-4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9.851618523329731E-4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9.851618523329731E-4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9.851618523329731E-4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9.851618523329731E-4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9.851618523329731E-4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9.851618523329731E-4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9.851618523329731E-4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9.851618523329731E-4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9.851618523329731E-4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9.851618523329731E-4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9.851618523329731E-4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9.851618523329731E-4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9.851618523329731E-4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9.851618523329731E-4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9.851618523329731E-4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9.851618523329731E-4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9.851618523329731E-4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9.851618523329731E-4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9.851618523329731E-4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9.851618523329731E-4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1.5051557627866578E-3</v>
      </c>
      <c r="C8" s="7">
        <f>$B8 * IFERROR(VLOOKUP("transport|SO2|Asthma symptoms wheeze", US_national_yearly!$D:$AM, 11, FALSE) / VLOOKUP("transport|SO2|Asthma symptoms wheeze", US_national_yearly!$D:$AM, 10, FALSE), 1)</f>
        <v>1.5051557627866578E-3</v>
      </c>
      <c r="D8" s="7">
        <f>$B8 * IFERROR(VLOOKUP("transport|SO2|Asthma symptoms wheeze", US_national_yearly!$D:$AM, 12, FALSE) / VLOOKUP("transport|SO2|Asthma symptoms wheeze", US_national_yearly!$D:$AM, 10, FALSE), 1)</f>
        <v>1.5051557627866578E-3</v>
      </c>
      <c r="E8" s="7">
        <f>$B8 * IFERROR(VLOOKUP("transport|SO2|Asthma symptoms wheeze", US_national_yearly!$D:$AM, 13, FALSE) / VLOOKUP("transport|SO2|Asthma symptoms wheeze", US_national_yearly!$D:$AM, 10, FALSE), 1)</f>
        <v>1.5051557627866578E-3</v>
      </c>
      <c r="F8" s="7">
        <f>$B8 * IFERROR(VLOOKUP("transport|SO2|Asthma symptoms wheeze", US_national_yearly!$D:$AM, 14, FALSE) / VLOOKUP("transport|SO2|Asthma symptoms wheeze", US_national_yearly!$D:$AM, 10, FALSE), 1)</f>
        <v>1.5051557627866578E-3</v>
      </c>
      <c r="G8" s="7">
        <f>$B8 * IFERROR(VLOOKUP("transport|SO2|Asthma symptoms wheeze", US_national_yearly!$D:$AM, 15, FALSE) / VLOOKUP("transport|SO2|Asthma symptoms wheeze", US_national_yearly!$D:$AM, 10, FALSE), 1)</f>
        <v>1.5051557627866578E-3</v>
      </c>
      <c r="H8" s="7">
        <f>$B8 * IFERROR(VLOOKUP("transport|SO2|Asthma symptoms wheeze", US_national_yearly!$D:$AM, 16, FALSE) / VLOOKUP("transport|SO2|Asthma symptoms wheeze", US_national_yearly!$D:$AM, 10, FALSE), 1)</f>
        <v>1.5051557627866578E-3</v>
      </c>
      <c r="I8" s="7">
        <f>$B8 * IFERROR(VLOOKUP("transport|SO2|Asthma symptoms wheeze", US_national_yearly!$D:$AM, 17, FALSE) / VLOOKUP("transport|SO2|Asthma symptoms wheeze", US_national_yearly!$D:$AM, 10, FALSE), 1)</f>
        <v>1.5051557627866578E-3</v>
      </c>
      <c r="J8" s="7">
        <f>$B8 * IFERROR(VLOOKUP("transport|SO2|Asthma symptoms wheeze", US_national_yearly!$D:$AM, 18, FALSE) / VLOOKUP("transport|SO2|Asthma symptoms wheeze", US_national_yearly!$D:$AM, 10, FALSE), 1)</f>
        <v>1.5051557627866578E-3</v>
      </c>
      <c r="K8" s="7">
        <f>$B8 * IFERROR(VLOOKUP("transport|SO2|Asthma symptoms wheeze", US_national_yearly!$D:$AM, 19, FALSE) / VLOOKUP("transport|SO2|Asthma symptoms wheeze", US_national_yearly!$D:$AM, 10, FALSE), 1)</f>
        <v>1.5051557627866578E-3</v>
      </c>
      <c r="L8" s="7">
        <f>$B8 * IFERROR(VLOOKUP("transport|SO2|Asthma symptoms wheeze", US_national_yearly!$D:$AM, 20, FALSE) / VLOOKUP("transport|SO2|Asthma symptoms wheeze", US_national_yearly!$D:$AM, 10, FALSE), 1)</f>
        <v>1.5051557627866578E-3</v>
      </c>
      <c r="M8" s="7">
        <f>$B8 * IFERROR(VLOOKUP("transport|SO2|Asthma symptoms wheeze", US_national_yearly!$D:$AM, 21, FALSE) / VLOOKUP("transport|SO2|Asthma symptoms wheeze", US_national_yearly!$D:$AM, 10, FALSE), 1)</f>
        <v>1.5051557627866578E-3</v>
      </c>
      <c r="N8" s="7">
        <f>$B8 * IFERROR(VLOOKUP("transport|SO2|Asthma symptoms wheeze", US_national_yearly!$D:$AM, 22, FALSE) / VLOOKUP("transport|SO2|Asthma symptoms wheeze", US_national_yearly!$D:$AM, 10, FALSE), 1)</f>
        <v>1.5051557627866578E-3</v>
      </c>
      <c r="O8" s="7">
        <f>$B8 * IFERROR(VLOOKUP("transport|SO2|Asthma symptoms wheeze", US_national_yearly!$D:$AM, 23, FALSE) / VLOOKUP("transport|SO2|Asthma symptoms wheeze", US_national_yearly!$D:$AM, 10, FALSE), 1)</f>
        <v>1.5051557627866578E-3</v>
      </c>
      <c r="P8" s="7">
        <f>$B8 * IFERROR(VLOOKUP("transport|SO2|Asthma symptoms wheeze", US_national_yearly!$D:$AM, 24, FALSE) / VLOOKUP("transport|SO2|Asthma symptoms wheeze", US_national_yearly!$D:$AM, 10, FALSE), 1)</f>
        <v>1.5051557627866578E-3</v>
      </c>
      <c r="Q8" s="7">
        <f>$B8 * IFERROR(VLOOKUP("transport|SO2|Asthma symptoms wheeze", US_national_yearly!$D:$AM, 25, FALSE) / VLOOKUP("transport|SO2|Asthma symptoms wheeze", US_national_yearly!$D:$AM, 10, FALSE), 1)</f>
        <v>1.5051557627866578E-3</v>
      </c>
      <c r="R8" s="7">
        <f>$B8 * IFERROR(VLOOKUP("transport|SO2|Asthma symptoms wheeze", US_national_yearly!$D:$AM, 26, FALSE) / VLOOKUP("transport|SO2|Asthma symptoms wheeze", US_national_yearly!$D:$AM, 10, FALSE), 1)</f>
        <v>1.5051557627866578E-3</v>
      </c>
      <c r="S8" s="7">
        <f>$B8 * IFERROR(VLOOKUP("transport|SO2|Asthma symptoms wheeze", US_national_yearly!$D:$AM, 27, FALSE) / VLOOKUP("transport|SO2|Asthma symptoms wheeze", US_national_yearly!$D:$AM, 10, FALSE), 1)</f>
        <v>1.5051557627866578E-3</v>
      </c>
      <c r="T8" s="7">
        <f>$B8 * IFERROR(VLOOKUP("transport|SO2|Asthma symptoms wheeze", US_national_yearly!$D:$AM, 28, FALSE) / VLOOKUP("transport|SO2|Asthma symptoms wheeze", US_national_yearly!$D:$AM, 10, FALSE), 1)</f>
        <v>1.5051557627866578E-3</v>
      </c>
      <c r="U8" s="7">
        <f>$B8 * IFERROR(VLOOKUP("transport|SO2|Asthma symptoms wheeze", US_national_yearly!$D:$AM, 29, FALSE) / VLOOKUP("transport|SO2|Asthma symptoms wheeze", US_national_yearly!$D:$AM, 10, FALSE), 1)</f>
        <v>1.5051557627866578E-3</v>
      </c>
      <c r="V8" s="7">
        <f>$B8 * IFERROR(VLOOKUP("transport|SO2|Asthma symptoms wheeze", US_national_yearly!$D:$AM, 30, FALSE) / VLOOKUP("transport|SO2|Asthma symptoms wheeze", US_national_yearly!$D:$AM, 10, FALSE), 1)</f>
        <v>1.5051557627866578E-3</v>
      </c>
      <c r="W8" s="7">
        <f>$B8 * IFERROR(VLOOKUP("transport|SO2|Asthma symptoms wheeze", US_national_yearly!$D:$AM, 31, FALSE) / VLOOKUP("transport|SO2|Asthma symptoms wheeze", US_national_yearly!$D:$AM, 10, FALSE), 1)</f>
        <v>1.5051557627866578E-3</v>
      </c>
      <c r="X8" s="7">
        <f>$B8 * IFERROR(VLOOKUP("transport|SO2|Asthma symptoms wheeze", US_national_yearly!$D:$AM, 32, FALSE) / VLOOKUP("transport|SO2|Asthma symptoms wheeze", US_national_yearly!$D:$AM, 10, FALSE), 1)</f>
        <v>1.5051557627866578E-3</v>
      </c>
      <c r="Y8" s="7">
        <f>$B8 * IFERROR(VLOOKUP("transport|SO2|Asthma symptoms wheeze", US_national_yearly!$D:$AM, 33, FALSE) / VLOOKUP("transport|SO2|Asthma symptoms wheeze", US_national_yearly!$D:$AM, 10, FALSE), 1)</f>
        <v>1.5051557627866578E-3</v>
      </c>
      <c r="Z8" s="7">
        <f>$B8 * IFERROR(VLOOKUP("transport|SO2|Asthma symptoms wheeze", US_national_yearly!$D:$AM, 34, FALSE) / VLOOKUP("transport|SO2|Asthma symptoms wheeze", US_national_yearly!$D:$AM, 10, FALSE), 1)</f>
        <v>1.5051557627866578E-3</v>
      </c>
      <c r="AA8" s="7">
        <f>$B8 * IFERROR(VLOOKUP("transport|SO2|Asthma symptoms wheeze", US_national_yearly!$D:$AM, 35, FALSE) / VLOOKUP("transport|SO2|Asthma symptoms wheeze", US_national_yearly!$D:$AM, 10, FALSE), 1)</f>
        <v>1.5051557627866578E-3</v>
      </c>
      <c r="AB8" s="7">
        <f>$B8 * IFERROR(VLOOKUP("transport|SO2|Asthma symptoms wheeze", US_national_yearly!$D:$AM, 36, FALSE) / VLOOKUP("transport|SO2|Asthma symptoms wheeze", US_national_yearly!$D:$AM, 10, FALSE), 1)</f>
        <v>1.5051557627866578E-3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2.0358547655755805E-5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2.0478623381545432E-5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2.059869910733506E-5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2.0718774833124688E-5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2.0838850558914312E-5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2.0969753353317119E-5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2.1100656147719923E-5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2.1229741888828483E-5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2.1358827629937048E-5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2.1487913371045605E-5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2.1616999112154169E-5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2.1746084853262723E-5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2.1840313459576168E-5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2.1934542065889608E-5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2.2028770672203046E-5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2.212299927851649E-5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2.2217227884829931E-5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2.2307114785407411E-5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2.2397001685984884E-5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2.2486888586562364E-5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2.2576775487139844E-5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2.2666662387717324E-5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2.2751950298690073E-5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2.2837238209662819E-5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2.2922526120635568E-5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2.3007814031608314E-5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2.3093101942581066E-5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1.0892101896333699E-4</v>
      </c>
      <c r="C13" s="7">
        <f>$B13 * IFERROR(VLOOKUP("transport|SO2|Non-fatal heart attacks", US_national_yearly!$D:$AM, 11, FALSE) / VLOOKUP("transport|SO2|Non-fatal heart attacks", US_national_yearly!$D:$AM, 10, FALSE), 1)</f>
        <v>1.1211854445726738E-4</v>
      </c>
      <c r="D13" s="7">
        <f>$B13 * IFERROR(VLOOKUP("transport|SO2|Non-fatal heart attacks", US_national_yearly!$D:$AM, 12, FALSE) / VLOOKUP("transport|SO2|Non-fatal heart attacks", US_national_yearly!$D:$AM, 10, FALSE), 1)</f>
        <v>1.1531606995119778E-4</v>
      </c>
      <c r="E13" s="7">
        <f>$B13 * IFERROR(VLOOKUP("transport|SO2|Non-fatal heart attacks", US_national_yearly!$D:$AM, 13, FALSE) / VLOOKUP("transport|SO2|Non-fatal heart attacks", US_national_yearly!$D:$AM, 10, FALSE), 1)</f>
        <v>1.1851359544512816E-4</v>
      </c>
      <c r="F13" s="7">
        <f>$B13 * IFERROR(VLOOKUP("transport|SO2|Non-fatal heart attacks", US_national_yearly!$D:$AM, 14, FALSE) / VLOOKUP("transport|SO2|Non-fatal heart attacks", US_national_yearly!$D:$AM, 10, FALSE), 1)</f>
        <v>1.2171112093905853E-4</v>
      </c>
      <c r="G13" s="7">
        <f>$B13 * IFERROR(VLOOKUP("transport|SO2|Non-fatal heart attacks", US_national_yearly!$D:$AM, 15, FALSE) / VLOOKUP("transport|SO2|Non-fatal heart attacks", US_national_yearly!$D:$AM, 10, FALSE), 1)</f>
        <v>1.2472668406844303E-4</v>
      </c>
      <c r="H13" s="7">
        <f>$B13 * IFERROR(VLOOKUP("transport|SO2|Non-fatal heart attacks", US_national_yearly!$D:$AM, 16, FALSE) / VLOOKUP("transport|SO2|Non-fatal heart attacks", US_national_yearly!$D:$AM, 10, FALSE), 1)</f>
        <v>1.277422471978275E-4</v>
      </c>
      <c r="I13" s="7">
        <f>$B13 * IFERROR(VLOOKUP("transport|SO2|Non-fatal heart attacks", US_national_yearly!$D:$AM, 17, FALSE) / VLOOKUP("transport|SO2|Non-fatal heart attacks", US_national_yearly!$D:$AM, 10, FALSE), 1)</f>
        <v>1.3016883018166178E-4</v>
      </c>
      <c r="J13" s="7">
        <f>$B13 * IFERROR(VLOOKUP("transport|SO2|Non-fatal heart attacks", US_national_yearly!$D:$AM, 18, FALSE) / VLOOKUP("transport|SO2|Non-fatal heart attacks", US_national_yearly!$D:$AM, 10, FALSE), 1)</f>
        <v>1.3259541316549609E-4</v>
      </c>
      <c r="K13" s="7">
        <f>$B13 * IFERROR(VLOOKUP("transport|SO2|Non-fatal heart attacks", US_national_yearly!$D:$AM, 19, FALSE) / VLOOKUP("transport|SO2|Non-fatal heart attacks", US_national_yearly!$D:$AM, 10, FALSE), 1)</f>
        <v>1.350219961493304E-4</v>
      </c>
      <c r="L13" s="7">
        <f>$B13 * IFERROR(VLOOKUP("transport|SO2|Non-fatal heart attacks", US_national_yearly!$D:$AM, 20, FALSE) / VLOOKUP("transport|SO2|Non-fatal heart attacks", US_national_yearly!$D:$AM, 10, FALSE), 1)</f>
        <v>1.3744857913316474E-4</v>
      </c>
      <c r="M13" s="7">
        <f>$B13 * IFERROR(VLOOKUP("transport|SO2|Non-fatal heart attacks", US_national_yearly!$D:$AM, 21, FALSE) / VLOOKUP("transport|SO2|Non-fatal heart attacks", US_national_yearly!$D:$AM, 10, FALSE), 1)</f>
        <v>1.3987516211699905E-4</v>
      </c>
      <c r="N13" s="7">
        <f>$B13 * IFERROR(VLOOKUP("transport|SO2|Non-fatal heart attacks", US_national_yearly!$D:$AM, 22, FALSE) / VLOOKUP("transport|SO2|Non-fatal heart attacks", US_national_yearly!$D:$AM, 10, FALSE), 1)</f>
        <v>1.414507717654147E-4</v>
      </c>
      <c r="O13" s="7">
        <f>$B13 * IFERROR(VLOOKUP("transport|SO2|Non-fatal heart attacks", US_national_yearly!$D:$AM, 23, FALSE) / VLOOKUP("transport|SO2|Non-fatal heart attacks", US_national_yearly!$D:$AM, 10, FALSE), 1)</f>
        <v>1.4302638141383043E-4</v>
      </c>
      <c r="P13" s="7">
        <f>$B13 * IFERROR(VLOOKUP("transport|SO2|Non-fatal heart attacks", US_national_yearly!$D:$AM, 24, FALSE) / VLOOKUP("transport|SO2|Non-fatal heart attacks", US_national_yearly!$D:$AM, 10, FALSE), 1)</f>
        <v>1.4460199106224617E-4</v>
      </c>
      <c r="Q13" s="7">
        <f>$B13 * IFERROR(VLOOKUP("transport|SO2|Non-fatal heart attacks", US_national_yearly!$D:$AM, 25, FALSE) / VLOOKUP("transport|SO2|Non-fatal heart attacks", US_national_yearly!$D:$AM, 10, FALSE), 1)</f>
        <v>1.4617760071066184E-4</v>
      </c>
      <c r="R13" s="7">
        <f>$B13 * IFERROR(VLOOKUP("transport|SO2|Non-fatal heart attacks", US_national_yearly!$D:$AM, 26, FALSE) / VLOOKUP("transport|SO2|Non-fatal heart attacks", US_national_yearly!$D:$AM, 10, FALSE), 1)</f>
        <v>1.4775321035907755E-4</v>
      </c>
      <c r="S13" s="7">
        <f>$B13 * IFERROR(VLOOKUP("transport|SO2|Non-fatal heart attacks", US_national_yearly!$D:$AM, 27, FALSE) / VLOOKUP("transport|SO2|Non-fatal heart attacks", US_national_yearly!$D:$AM, 10, FALSE), 1)</f>
        <v>1.4857582729404348E-4</v>
      </c>
      <c r="T13" s="7">
        <f>$B13 * IFERROR(VLOOKUP("transport|SO2|Non-fatal heart attacks", US_national_yearly!$D:$AM, 28, FALSE) / VLOOKUP("transport|SO2|Non-fatal heart attacks", US_national_yearly!$D:$AM, 10, FALSE), 1)</f>
        <v>1.4939844422900945E-4</v>
      </c>
      <c r="U13" s="7">
        <f>$B13 * IFERROR(VLOOKUP("transport|SO2|Non-fatal heart attacks", US_national_yearly!$D:$AM, 29, FALSE) / VLOOKUP("transport|SO2|Non-fatal heart attacks", US_national_yearly!$D:$AM, 10, FALSE), 1)</f>
        <v>1.5022106116397538E-4</v>
      </c>
      <c r="V13" s="7">
        <f>$B13 * IFERROR(VLOOKUP("transport|SO2|Non-fatal heart attacks", US_national_yearly!$D:$AM, 30, FALSE) / VLOOKUP("transport|SO2|Non-fatal heart attacks", US_national_yearly!$D:$AM, 10, FALSE), 1)</f>
        <v>1.5104367809894129E-4</v>
      </c>
      <c r="W13" s="7">
        <f>$B13 * IFERROR(VLOOKUP("transport|SO2|Non-fatal heart attacks", US_national_yearly!$D:$AM, 31, FALSE) / VLOOKUP("transport|SO2|Non-fatal heart attacks", US_national_yearly!$D:$AM, 10, FALSE), 1)</f>
        <v>1.5186629503390728E-4</v>
      </c>
      <c r="X13" s="7">
        <f>$B13 * IFERROR(VLOOKUP("transport|SO2|Non-fatal heart attacks", US_national_yearly!$D:$AM, 32, FALSE) / VLOOKUP("transport|SO2|Non-fatal heart attacks", US_national_yearly!$D:$AM, 10, FALSE), 1)</f>
        <v>1.5248729886233522E-4</v>
      </c>
      <c r="Y13" s="7">
        <f>$B13 * IFERROR(VLOOKUP("transport|SO2|Non-fatal heart attacks", US_national_yearly!$D:$AM, 33, FALSE) / VLOOKUP("transport|SO2|Non-fatal heart attacks", US_national_yearly!$D:$AM, 10, FALSE), 1)</f>
        <v>1.5310830269076316E-4</v>
      </c>
      <c r="Z13" s="7">
        <f>$B13 * IFERROR(VLOOKUP("transport|SO2|Non-fatal heart attacks", US_national_yearly!$D:$AM, 34, FALSE) / VLOOKUP("transport|SO2|Non-fatal heart attacks", US_national_yearly!$D:$AM, 10, FALSE), 1)</f>
        <v>1.537293065191911E-4</v>
      </c>
      <c r="AA13" s="7">
        <f>$B13 * IFERROR(VLOOKUP("transport|SO2|Non-fatal heart attacks", US_national_yearly!$D:$AM, 35, FALSE) / VLOOKUP("transport|SO2|Non-fatal heart attacks", US_national_yearly!$D:$AM, 10, FALSE), 1)</f>
        <v>1.5435031034761903E-4</v>
      </c>
      <c r="AB13" s="7">
        <f>$B13 * IFERROR(VLOOKUP("transport|SO2|Non-fatal heart attacks", US_national_yearly!$D:$AM, 36, FALSE) / VLOOKUP("transport|SO2|Non-fatal heart attacks", US_national_yearly!$D:$AM, 10, FALSE), 1)</f>
        <v>1.5497131417604697E-4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7.7224843933512283E-2</v>
      </c>
      <c r="C14" s="7">
        <f>$B14 * IFERROR(VLOOKUP("transport|SO2|Minor restricted activity days", US_national_yearly!$D:$AM, 11, FALSE) / VLOOKUP("transport|SO2|Minor restricted activity days", US_national_yearly!$D:$AM, 10, FALSE), 1)</f>
        <v>7.7419502034343571E-2</v>
      </c>
      <c r="D14" s="7">
        <f>$B14 * IFERROR(VLOOKUP("transport|SO2|Minor restricted activity days", US_national_yearly!$D:$AM, 12, FALSE) / VLOOKUP("transport|SO2|Minor restricted activity days", US_national_yearly!$D:$AM, 10, FALSE), 1)</f>
        <v>7.7614160135174845E-2</v>
      </c>
      <c r="E14" s="7">
        <f>$B14 * IFERROR(VLOOKUP("transport|SO2|Minor restricted activity days", US_national_yearly!$D:$AM, 13, FALSE) / VLOOKUP("transport|SO2|Minor restricted activity days", US_national_yearly!$D:$AM, 10, FALSE), 1)</f>
        <v>7.7808818236006133E-2</v>
      </c>
      <c r="F14" s="7">
        <f>$B14 * IFERROR(VLOOKUP("transport|SO2|Minor restricted activity days", US_national_yearly!$D:$AM, 14, FALSE) / VLOOKUP("transport|SO2|Minor restricted activity days", US_national_yearly!$D:$AM, 10, FALSE), 1)</f>
        <v>7.8003476336837393E-2</v>
      </c>
      <c r="G14" s="7">
        <f>$B14 * IFERROR(VLOOKUP("transport|SO2|Minor restricted activity days", US_national_yearly!$D:$AM, 15, FALSE) / VLOOKUP("transport|SO2|Minor restricted activity days", US_national_yearly!$D:$AM, 10, FALSE), 1)</f>
        <v>7.8289993937942434E-2</v>
      </c>
      <c r="H14" s="7">
        <f>$B14 * IFERROR(VLOOKUP("transport|SO2|Minor restricted activity days", US_national_yearly!$D:$AM, 16, FALSE) / VLOOKUP("transport|SO2|Minor restricted activity days", US_national_yearly!$D:$AM, 10, FALSE), 1)</f>
        <v>7.8576511539047475E-2</v>
      </c>
      <c r="I14" s="7">
        <f>$B14 * IFERROR(VLOOKUP("transport|SO2|Minor restricted activity days", US_national_yearly!$D:$AM, 17, FALSE) / VLOOKUP("transport|SO2|Minor restricted activity days", US_national_yearly!$D:$AM, 10, FALSE), 1)</f>
        <v>7.9065140601162653E-2</v>
      </c>
      <c r="J14" s="7">
        <f>$B14 * IFERROR(VLOOKUP("transport|SO2|Minor restricted activity days", US_national_yearly!$D:$AM, 18, FALSE) / VLOOKUP("transport|SO2|Minor restricted activity days", US_national_yearly!$D:$AM, 10, FALSE), 1)</f>
        <v>7.9553769663277832E-2</v>
      </c>
      <c r="K14" s="7">
        <f>$B14 * IFERROR(VLOOKUP("transport|SO2|Minor restricted activity days", US_national_yearly!$D:$AM, 19, FALSE) / VLOOKUP("transport|SO2|Minor restricted activity days", US_national_yearly!$D:$AM, 10, FALSE), 1)</f>
        <v>8.0042398725393024E-2</v>
      </c>
      <c r="L14" s="7">
        <f>$B14 * IFERROR(VLOOKUP("transport|SO2|Minor restricted activity days", US_national_yearly!$D:$AM, 20, FALSE) / VLOOKUP("transport|SO2|Minor restricted activity days", US_national_yearly!$D:$AM, 10, FALSE), 1)</f>
        <v>8.0531027787508216E-2</v>
      </c>
      <c r="M14" s="7">
        <f>$B14 * IFERROR(VLOOKUP("transport|SO2|Minor restricted activity days", US_national_yearly!$D:$AM, 21, FALSE) / VLOOKUP("transport|SO2|Minor restricted activity days", US_national_yearly!$D:$AM, 10, FALSE), 1)</f>
        <v>8.1019656849623395E-2</v>
      </c>
      <c r="N14" s="7">
        <f>$B14 * IFERROR(VLOOKUP("transport|SO2|Minor restricted activity days", US_national_yearly!$D:$AM, 22, FALSE) / VLOOKUP("transport|SO2|Minor restricted activity days", US_national_yearly!$D:$AM, 10, FALSE), 1)</f>
        <v>8.1688023001676838E-2</v>
      </c>
      <c r="O14" s="7">
        <f>$B14 * IFERROR(VLOOKUP("transport|SO2|Minor restricted activity days", US_national_yearly!$D:$AM, 23, FALSE) / VLOOKUP("transport|SO2|Minor restricted activity days", US_national_yearly!$D:$AM, 10, FALSE), 1)</f>
        <v>8.2356389153730294E-2</v>
      </c>
      <c r="P14" s="7">
        <f>$B14 * IFERROR(VLOOKUP("transport|SO2|Minor restricted activity days", US_national_yearly!$D:$AM, 24, FALSE) / VLOOKUP("transport|SO2|Minor restricted activity days", US_national_yearly!$D:$AM, 10, FALSE), 1)</f>
        <v>8.3024755305783737E-2</v>
      </c>
      <c r="Q14" s="7">
        <f>$B14 * IFERROR(VLOOKUP("transport|SO2|Minor restricted activity days", US_national_yearly!$D:$AM, 25, FALSE) / VLOOKUP("transport|SO2|Minor restricted activity days", US_national_yearly!$D:$AM, 10, FALSE), 1)</f>
        <v>8.369312145783718E-2</v>
      </c>
      <c r="R14" s="7">
        <f>$B14 * IFERROR(VLOOKUP("transport|SO2|Minor restricted activity days", US_national_yearly!$D:$AM, 26, FALSE) / VLOOKUP("transport|SO2|Minor restricted activity days", US_national_yearly!$D:$AM, 10, FALSE), 1)</f>
        <v>8.4361487609890637E-2</v>
      </c>
      <c r="S14" s="7">
        <f>$B14 * IFERROR(VLOOKUP("transport|SO2|Minor restricted activity days", US_national_yearly!$D:$AM, 27, FALSE) / VLOOKUP("transport|SO2|Minor restricted activity days", US_national_yearly!$D:$AM, 10, FALSE), 1)</f>
        <v>8.5042952317527676E-2</v>
      </c>
      <c r="T14" s="7">
        <f>$B14 * IFERROR(VLOOKUP("transport|SO2|Minor restricted activity days", US_national_yearly!$D:$AM, 28, FALSE) / VLOOKUP("transport|SO2|Minor restricted activity days", US_national_yearly!$D:$AM, 10, FALSE), 1)</f>
        <v>8.5724417025164729E-2</v>
      </c>
      <c r="U14" s="7">
        <f>$B14 * IFERROR(VLOOKUP("transport|SO2|Minor restricted activity days", US_national_yearly!$D:$AM, 29, FALSE) / VLOOKUP("transport|SO2|Minor restricted activity days", US_national_yearly!$D:$AM, 10, FALSE), 1)</f>
        <v>8.6405881732801781E-2</v>
      </c>
      <c r="V14" s="7">
        <f>$B14 * IFERROR(VLOOKUP("transport|SO2|Minor restricted activity days", US_national_yearly!$D:$AM, 30, FALSE) / VLOOKUP("transport|SO2|Minor restricted activity days", US_national_yearly!$D:$AM, 10, FALSE), 1)</f>
        <v>8.708734644043882E-2</v>
      </c>
      <c r="W14" s="7">
        <f>$B14 * IFERROR(VLOOKUP("transport|SO2|Minor restricted activity days", US_national_yearly!$D:$AM, 31, FALSE) / VLOOKUP("transport|SO2|Minor restricted activity days", US_national_yearly!$D:$AM, 10, FALSE), 1)</f>
        <v>8.7768811148075887E-2</v>
      </c>
      <c r="X14" s="7">
        <f>$B14 * IFERROR(VLOOKUP("transport|SO2|Minor restricted activity days", US_national_yearly!$D:$AM, 32, FALSE) / VLOOKUP("transport|SO2|Minor restricted activity days", US_national_yearly!$D:$AM, 10, FALSE), 1)</f>
        <v>8.8368105053326693E-2</v>
      </c>
      <c r="Y14" s="7">
        <f>$B14 * IFERROR(VLOOKUP("transport|SO2|Minor restricted activity days", US_national_yearly!$D:$AM, 33, FALSE) / VLOOKUP("transport|SO2|Minor restricted activity days", US_national_yearly!$D:$AM, 10, FALSE), 1)</f>
        <v>8.8967398958577498E-2</v>
      </c>
      <c r="Z14" s="7">
        <f>$B14 * IFERROR(VLOOKUP("transport|SO2|Minor restricted activity days", US_national_yearly!$D:$AM, 34, FALSE) / VLOOKUP("transport|SO2|Minor restricted activity days", US_national_yearly!$D:$AM, 10, FALSE), 1)</f>
        <v>8.9566692863828332E-2</v>
      </c>
      <c r="AA14" s="7">
        <f>$B14 * IFERROR(VLOOKUP("transport|SO2|Minor restricted activity days", US_national_yearly!$D:$AM, 35, FALSE) / VLOOKUP("transport|SO2|Minor restricted activity days", US_national_yearly!$D:$AM, 10, FALSE), 1)</f>
        <v>9.0165986769079137E-2</v>
      </c>
      <c r="AB14" s="7">
        <f>$B14 * IFERROR(VLOOKUP("transport|SO2|Minor restricted activity days", US_national_yearly!$D:$AM, 36, FALSE) / VLOOKUP("transport|SO2|Minor restricted activity days", US_national_yearly!$D:$AM, 10, FALSE), 1)</f>
        <v>9.0765280674329957E-2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1.3123209154750617E-2</v>
      </c>
      <c r="C15" s="7">
        <f>$B15 * IFERROR(VLOOKUP("transport|SO2|Work loss days", US_national_yearly!$D:$AM, 11, FALSE) / VLOOKUP("transport|SO2|Work loss days", US_national_yearly!$D:$AM, 10, FALSE), 1)</f>
        <v>1.3165726266662408E-2</v>
      </c>
      <c r="D15" s="7">
        <f>$B15 * IFERROR(VLOOKUP("transport|SO2|Work loss days", US_national_yearly!$D:$AM, 12, FALSE) / VLOOKUP("transport|SO2|Work loss days", US_national_yearly!$D:$AM, 10, FALSE), 1)</f>
        <v>1.3208243378574199E-2</v>
      </c>
      <c r="E15" s="7">
        <f>$B15 * IFERROR(VLOOKUP("transport|SO2|Work loss days", US_national_yearly!$D:$AM, 13, FALSE) / VLOOKUP("transport|SO2|Work loss days", US_national_yearly!$D:$AM, 10, FALSE), 1)</f>
        <v>1.3250760490485991E-2</v>
      </c>
      <c r="F15" s="7">
        <f>$B15 * IFERROR(VLOOKUP("transport|SO2|Work loss days", US_national_yearly!$D:$AM, 14, FALSE) / VLOOKUP("transport|SO2|Work loss days", US_national_yearly!$D:$AM, 10, FALSE), 1)</f>
        <v>1.329327760239778E-2</v>
      </c>
      <c r="G15" s="7">
        <f>$B15 * IFERROR(VLOOKUP("transport|SO2|Work loss days", US_national_yearly!$D:$AM, 15, FALSE) / VLOOKUP("transport|SO2|Work loss days", US_national_yearly!$D:$AM, 10, FALSE), 1)</f>
        <v>1.3348831411411688E-2</v>
      </c>
      <c r="H15" s="7">
        <f>$B15 * IFERROR(VLOOKUP("transport|SO2|Work loss days", US_national_yearly!$D:$AM, 16, FALSE) / VLOOKUP("transport|SO2|Work loss days", US_national_yearly!$D:$AM, 10, FALSE), 1)</f>
        <v>1.3404385220425591E-2</v>
      </c>
      <c r="I15" s="7">
        <f>$B15 * IFERROR(VLOOKUP("transport|SO2|Work loss days", US_national_yearly!$D:$AM, 17, FALSE) / VLOOKUP("transport|SO2|Work loss days", US_national_yearly!$D:$AM, 10, FALSE), 1)</f>
        <v>1.3485652985452096E-2</v>
      </c>
      <c r="J15" s="7">
        <f>$B15 * IFERROR(VLOOKUP("transport|SO2|Work loss days", US_national_yearly!$D:$AM, 18, FALSE) / VLOOKUP("transport|SO2|Work loss days", US_national_yearly!$D:$AM, 10, FALSE), 1)</f>
        <v>1.3566920750478597E-2</v>
      </c>
      <c r="K15" s="7">
        <f>$B15 * IFERROR(VLOOKUP("transport|SO2|Work loss days", US_national_yearly!$D:$AM, 19, FALSE) / VLOOKUP("transport|SO2|Work loss days", US_national_yearly!$D:$AM, 10, FALSE), 1)</f>
        <v>1.3648188515505102E-2</v>
      </c>
      <c r="L15" s="7">
        <f>$B15 * IFERROR(VLOOKUP("transport|SO2|Work loss days", US_national_yearly!$D:$AM, 20, FALSE) / VLOOKUP("transport|SO2|Work loss days", US_national_yearly!$D:$AM, 10, FALSE), 1)</f>
        <v>1.3729456280531608E-2</v>
      </c>
      <c r="M15" s="7">
        <f>$B15 * IFERROR(VLOOKUP("transport|SO2|Work loss days", US_national_yearly!$D:$AM, 21, FALSE) / VLOOKUP("transport|SO2|Work loss days", US_national_yearly!$D:$AM, 10, FALSE), 1)</f>
        <v>1.3810724045558111E-2</v>
      </c>
      <c r="N15" s="7">
        <f>$B15 * IFERROR(VLOOKUP("transport|SO2|Work loss days", US_national_yearly!$D:$AM, 22, FALSE) / VLOOKUP("transport|SO2|Work loss days", US_national_yearly!$D:$AM, 10, FALSE), 1)</f>
        <v>1.3912620653413041E-2</v>
      </c>
      <c r="O15" s="7">
        <f>$B15 * IFERROR(VLOOKUP("transport|SO2|Work loss days", US_national_yearly!$D:$AM, 23, FALSE) / VLOOKUP("transport|SO2|Work loss days", US_national_yearly!$D:$AM, 10, FALSE), 1)</f>
        <v>1.401451726126797E-2</v>
      </c>
      <c r="P15" s="7">
        <f>$B15 * IFERROR(VLOOKUP("transport|SO2|Work loss days", US_national_yearly!$D:$AM, 24, FALSE) / VLOOKUP("transport|SO2|Work loss days", US_national_yearly!$D:$AM, 10, FALSE), 1)</f>
        <v>1.4116413869122896E-2</v>
      </c>
      <c r="Q15" s="7">
        <f>$B15 * IFERROR(VLOOKUP("transport|SO2|Work loss days", US_national_yearly!$D:$AM, 25, FALSE) / VLOOKUP("transport|SO2|Work loss days", US_national_yearly!$D:$AM, 10, FALSE), 1)</f>
        <v>1.4218310476977825E-2</v>
      </c>
      <c r="R15" s="7">
        <f>$B15 * IFERROR(VLOOKUP("transport|SO2|Work loss days", US_national_yearly!$D:$AM, 26, FALSE) / VLOOKUP("transport|SO2|Work loss days", US_national_yearly!$D:$AM, 10, FALSE), 1)</f>
        <v>1.4320207084832755E-2</v>
      </c>
      <c r="S15" s="7">
        <f>$B15 * IFERROR(VLOOKUP("transport|SO2|Work loss days", US_national_yearly!$D:$AM, 27, FALSE) / VLOOKUP("transport|SO2|Work loss days", US_national_yearly!$D:$AM, 10, FALSE), 1)</f>
        <v>1.4434076208161811E-2</v>
      </c>
      <c r="T15" s="7">
        <f>$B15 * IFERROR(VLOOKUP("transport|SO2|Work loss days", US_national_yearly!$D:$AM, 28, FALSE) / VLOOKUP("transport|SO2|Work loss days", US_national_yearly!$D:$AM, 10, FALSE), 1)</f>
        <v>1.4547945331490873E-2</v>
      </c>
      <c r="U15" s="7">
        <f>$B15 * IFERROR(VLOOKUP("transport|SO2|Work loss days", US_national_yearly!$D:$AM, 29, FALSE) / VLOOKUP("transport|SO2|Work loss days", US_national_yearly!$D:$AM, 10, FALSE), 1)</f>
        <v>1.466181445481993E-2</v>
      </c>
      <c r="V15" s="7">
        <f>$B15 * IFERROR(VLOOKUP("transport|SO2|Work loss days", US_national_yearly!$D:$AM, 30, FALSE) / VLOOKUP("transport|SO2|Work loss days", US_national_yearly!$D:$AM, 10, FALSE), 1)</f>
        <v>1.4775683578148987E-2</v>
      </c>
      <c r="W15" s="7">
        <f>$B15 * IFERROR(VLOOKUP("transport|SO2|Work loss days", US_national_yearly!$D:$AM, 31, FALSE) / VLOOKUP("transport|SO2|Work loss days", US_national_yearly!$D:$AM, 10, FALSE), 1)</f>
        <v>1.4889552701478048E-2</v>
      </c>
      <c r="X15" s="7">
        <f>$B15 * IFERROR(VLOOKUP("transport|SO2|Work loss days", US_national_yearly!$D:$AM, 32, FALSE) / VLOOKUP("transport|SO2|Work loss days", US_national_yearly!$D:$AM, 10, FALSE), 1)</f>
        <v>1.4991791478892985E-2</v>
      </c>
      <c r="Y15" s="7">
        <f>$B15 * IFERROR(VLOOKUP("transport|SO2|Work loss days", US_national_yearly!$D:$AM, 33, FALSE) / VLOOKUP("transport|SO2|Work loss days", US_national_yearly!$D:$AM, 10, FALSE), 1)</f>
        <v>1.5094030256307928E-2</v>
      </c>
      <c r="Z15" s="7">
        <f>$B15 * IFERROR(VLOOKUP("transport|SO2|Work loss days", US_national_yearly!$D:$AM, 34, FALSE) / VLOOKUP("transport|SO2|Work loss days", US_national_yearly!$D:$AM, 10, FALSE), 1)</f>
        <v>1.5196269033722868E-2</v>
      </c>
      <c r="AA15" s="7">
        <f>$B15 * IFERROR(VLOOKUP("transport|SO2|Work loss days", US_national_yearly!$D:$AM, 35, FALSE) / VLOOKUP("transport|SO2|Work loss days", US_national_yearly!$D:$AM, 10, FALSE), 1)</f>
        <v>1.5298507811137809E-2</v>
      </c>
      <c r="AB15" s="7">
        <f>$B15 * IFERROR(VLOOKUP("transport|SO2|Work loss days", US_national_yearly!$D:$AM, 36, FALSE) / VLOOKUP("transport|SO2|Work loss days", US_national_yearly!$D:$AM, 10, FALSE), 1)</f>
        <v>1.540074658855275E-2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2.1073099142953822E-5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2.1710430358821391E-5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2.2347761574688961E-5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2.2985092790556534E-5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2.3622424006424106E-5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2.4232926710498816E-5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2.4843429414573533E-5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2.5366511093402891E-5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2.5889592772232249E-5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2.6412674451061603E-5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2.6935756129890961E-5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2.7458837808720315E-5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2.781022954423753E-5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2.8161621279754737E-5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2.8513013015271948E-5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2.8864404750789159E-5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2.9215796486306374E-5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2.9400603520073489E-5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2.9585410553840604E-5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2.9770217587607719E-5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2.9955024621374835E-5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3.0139831655141953E-5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3.02638987261636E-5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3.0387965797185247E-5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3.0512032868206897E-5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3.0636099939228547E-5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3.076016701025019E-5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1.2057904211723878E-3</v>
      </c>
      <c r="C2" s="7">
        <f>$B2 * IFERROR(VLOOKUP("electricity|PM25|Premature mortality", US_national_yearly!$D:$AM, 11, FALSE) / VLOOKUP("electricity|PM25|Premature mortality", US_national_yearly!$D:$AM, 10, FALSE), 1)</f>
        <v>1.220725627990963E-3</v>
      </c>
      <c r="D2" s="7">
        <f>$B2 * IFERROR(VLOOKUP("electricity|PM25|Premature mortality", US_national_yearly!$D:$AM, 12, FALSE) / VLOOKUP("electricity|PM25|Premature mortality", US_national_yearly!$D:$AM, 10, FALSE), 1)</f>
        <v>1.2356608348095381E-3</v>
      </c>
      <c r="E2" s="7">
        <f>$B2 * IFERROR(VLOOKUP("electricity|PM25|Premature mortality", US_national_yearly!$D:$AM, 13, FALSE) / VLOOKUP("electricity|PM25|Premature mortality", US_national_yearly!$D:$AM, 10, FALSE), 1)</f>
        <v>1.2505960416281134E-3</v>
      </c>
      <c r="F2" s="7">
        <f>$B2 * IFERROR(VLOOKUP("electricity|PM25|Premature mortality", US_national_yearly!$D:$AM, 14, FALSE) / VLOOKUP("electricity|PM25|Premature mortality", US_national_yearly!$D:$AM, 10, FALSE), 1)</f>
        <v>1.2655312484466889E-3</v>
      </c>
      <c r="G2" s="7">
        <f>$B2 * IFERROR(VLOOKUP("electricity|PM25|Premature mortality", US_national_yearly!$D:$AM, 15, FALSE) / VLOOKUP("electricity|PM25|Premature mortality", US_national_yearly!$D:$AM, 10, FALSE), 1)</f>
        <v>1.2948647889176863E-3</v>
      </c>
      <c r="H2" s="7">
        <f>$B2 * IFERROR(VLOOKUP("electricity|PM25|Premature mortality", US_national_yearly!$D:$AM, 16, FALSE) / VLOOKUP("electricity|PM25|Premature mortality", US_national_yearly!$D:$AM, 10, FALSE), 1)</f>
        <v>1.324198329388684E-3</v>
      </c>
      <c r="I2" s="7">
        <f>$B2 * IFERROR(VLOOKUP("electricity|PM25|Premature mortality", US_national_yearly!$D:$AM, 17, FALSE) / VLOOKUP("electricity|PM25|Premature mortality", US_national_yearly!$D:$AM, 10, FALSE), 1)</f>
        <v>1.3439077844011747E-3</v>
      </c>
      <c r="J2" s="7">
        <f>$B2 * IFERROR(VLOOKUP("electricity|PM25|Premature mortality", US_national_yearly!$D:$AM, 18, FALSE) / VLOOKUP("electricity|PM25|Premature mortality", US_national_yearly!$D:$AM, 10, FALSE), 1)</f>
        <v>1.3636172394136655E-3</v>
      </c>
      <c r="K2" s="7">
        <f>$B2 * IFERROR(VLOOKUP("electricity|PM25|Premature mortality", US_national_yearly!$D:$AM, 19, FALSE) / VLOOKUP("electricity|PM25|Premature mortality", US_national_yearly!$D:$AM, 10, FALSE), 1)</f>
        <v>1.3833266944261562E-3</v>
      </c>
      <c r="L2" s="7">
        <f>$B2 * IFERROR(VLOOKUP("electricity|PM25|Premature mortality", US_national_yearly!$D:$AM, 20, FALSE) / VLOOKUP("electricity|PM25|Premature mortality", US_national_yearly!$D:$AM, 10, FALSE), 1)</f>
        <v>1.4030361494386469E-3</v>
      </c>
      <c r="M2" s="7">
        <f>$B2 * IFERROR(VLOOKUP("electricity|PM25|Premature mortality", US_national_yearly!$D:$AM, 21, FALSE) / VLOOKUP("electricity|PM25|Premature mortality", US_national_yearly!$D:$AM, 10, FALSE), 1)</f>
        <v>1.4227456044511374E-3</v>
      </c>
      <c r="N2" s="7">
        <f>$B2 * IFERROR(VLOOKUP("electricity|PM25|Premature mortality", US_national_yearly!$D:$AM, 22, FALSE) / VLOOKUP("electricity|PM25|Premature mortality", US_national_yearly!$D:$AM, 10, FALSE), 1)</f>
        <v>1.4384562715316189E-3</v>
      </c>
      <c r="O2" s="7">
        <f>$B2 * IFERROR(VLOOKUP("electricity|PM25|Premature mortality", US_national_yearly!$D:$AM, 23, FALSE) / VLOOKUP("electricity|PM25|Premature mortality", US_national_yearly!$D:$AM, 10, FALSE), 1)</f>
        <v>1.4541669386120999E-3</v>
      </c>
      <c r="P2" s="7">
        <f>$B2 * IFERROR(VLOOKUP("electricity|PM25|Premature mortality", US_national_yearly!$D:$AM, 24, FALSE) / VLOOKUP("electricity|PM25|Premature mortality", US_national_yearly!$D:$AM, 10, FALSE), 1)</f>
        <v>1.4698776056925812E-3</v>
      </c>
      <c r="Q2" s="7">
        <f>$B2 * IFERROR(VLOOKUP("electricity|PM25|Premature mortality", US_national_yearly!$D:$AM, 25, FALSE) / VLOOKUP("electricity|PM25|Premature mortality", US_national_yearly!$D:$AM, 10, FALSE), 1)</f>
        <v>1.4855882727730623E-3</v>
      </c>
      <c r="R2" s="7">
        <f>$B2 * IFERROR(VLOOKUP("electricity|PM25|Premature mortality", US_national_yearly!$D:$AM, 26, FALSE) / VLOOKUP("electricity|PM25|Premature mortality", US_national_yearly!$D:$AM, 10, FALSE), 1)</f>
        <v>1.5012989398535436E-3</v>
      </c>
      <c r="S2" s="7">
        <f>$B2 * IFERROR(VLOOKUP("electricity|PM25|Premature mortality", US_national_yearly!$D:$AM, 27, FALSE) / VLOOKUP("electricity|PM25|Premature mortality", US_national_yearly!$D:$AM, 10, FALSE), 1)</f>
        <v>1.5102886677622138E-3</v>
      </c>
      <c r="T2" s="7">
        <f>$B2 * IFERROR(VLOOKUP("electricity|PM25|Premature mortality", US_national_yearly!$D:$AM, 28, FALSE) / VLOOKUP("electricity|PM25|Premature mortality", US_national_yearly!$D:$AM, 10, FALSE), 1)</f>
        <v>1.5192783956708839E-3</v>
      </c>
      <c r="U2" s="7">
        <f>$B2 * IFERROR(VLOOKUP("electricity|PM25|Premature mortality", US_national_yearly!$D:$AM, 29, FALSE) / VLOOKUP("electricity|PM25|Premature mortality", US_national_yearly!$D:$AM, 10, FALSE), 1)</f>
        <v>1.5282681235795543E-3</v>
      </c>
      <c r="V2" s="7">
        <f>$B2 * IFERROR(VLOOKUP("electricity|PM25|Premature mortality", US_national_yearly!$D:$AM, 30, FALSE) / VLOOKUP("electricity|PM25|Premature mortality", US_national_yearly!$D:$AM, 10, FALSE), 1)</f>
        <v>1.5372578514882243E-3</v>
      </c>
      <c r="W2" s="7">
        <f>$B2 * IFERROR(VLOOKUP("electricity|PM25|Premature mortality", US_national_yearly!$D:$AM, 31, FALSE) / VLOOKUP("electricity|PM25|Premature mortality", US_national_yearly!$D:$AM, 10, FALSE), 1)</f>
        <v>1.5462475793968946E-3</v>
      </c>
      <c r="X2" s="7">
        <f>$B2 * IFERROR(VLOOKUP("electricity|PM25|Premature mortality", US_national_yearly!$D:$AM, 32, FALSE) / VLOOKUP("electricity|PM25|Premature mortality", US_national_yearly!$D:$AM, 10, FALSE), 1)</f>
        <v>1.5487448676860037E-3</v>
      </c>
      <c r="Y2" s="7">
        <f>$B2 * IFERROR(VLOOKUP("electricity|PM25|Premature mortality", US_national_yearly!$D:$AM, 33, FALSE) / VLOOKUP("electricity|PM25|Premature mortality", US_national_yearly!$D:$AM, 10, FALSE), 1)</f>
        <v>1.5512421559751128E-3</v>
      </c>
      <c r="Z2" s="7">
        <f>$B2 * IFERROR(VLOOKUP("electricity|PM25|Premature mortality", US_national_yearly!$D:$AM, 34, FALSE) / VLOOKUP("electricity|PM25|Premature mortality", US_national_yearly!$D:$AM, 10, FALSE), 1)</f>
        <v>1.5537394442642219E-3</v>
      </c>
      <c r="AA2" s="7">
        <f>$B2 * IFERROR(VLOOKUP("electricity|PM25|Premature mortality", US_national_yearly!$D:$AM, 35, FALSE) / VLOOKUP("electricity|PM25|Premature mortality", US_national_yearly!$D:$AM, 10, FALSE), 1)</f>
        <v>1.5562367325533313E-3</v>
      </c>
      <c r="AB2" s="7">
        <f>$B2 * IFERROR(VLOOKUP("electricity|PM25|Premature mortality", US_national_yearly!$D:$AM, 36, FALSE) / VLOOKUP("electricity|PM25|Premature mortality", US_national_yearly!$D:$AM, 10, FALSE), 1)</f>
        <v>1.5587340208424404E-3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4.3905179954793748E-6</v>
      </c>
      <c r="C3" s="7">
        <f>$B3 * IFERROR(VLOOKUP("electricity|PM25|Infant mortality", US_national_yearly!$D:$AM, 11, FALSE) / VLOOKUP("electricity|PM25|Infant mortality", US_national_yearly!$D:$AM, 10, FALSE), 1)</f>
        <v>4.3522634232439995E-6</v>
      </c>
      <c r="D3" s="7">
        <f>$B3 * IFERROR(VLOOKUP("electricity|PM25|Infant mortality", US_national_yearly!$D:$AM, 12, FALSE) / VLOOKUP("electricity|PM25|Infant mortality", US_national_yearly!$D:$AM, 10, FALSE), 1)</f>
        <v>4.3140088510086259E-6</v>
      </c>
      <c r="E3" s="7">
        <f>$B3 * IFERROR(VLOOKUP("electricity|PM25|Infant mortality", US_national_yearly!$D:$AM, 13, FALSE) / VLOOKUP("electricity|PM25|Infant mortality", US_national_yearly!$D:$AM, 10, FALSE), 1)</f>
        <v>4.2757542787732506E-6</v>
      </c>
      <c r="F3" s="7">
        <f>$B3 * IFERROR(VLOOKUP("electricity|PM25|Infant mortality", US_national_yearly!$D:$AM, 14, FALSE) / VLOOKUP("electricity|PM25|Infant mortality", US_national_yearly!$D:$AM, 10, FALSE), 1)</f>
        <v>4.2374997065378762E-6</v>
      </c>
      <c r="G3" s="7">
        <f>$B3 * IFERROR(VLOOKUP("electricity|PM25|Infant mortality", US_national_yearly!$D:$AM, 15, FALSE) / VLOOKUP("electricity|PM25|Infant mortality", US_national_yearly!$D:$AM, 10, FALSE), 1)</f>
        <v>2.8101777292235983E-6</v>
      </c>
      <c r="H3" s="7">
        <f>$B3 * IFERROR(VLOOKUP("electricity|PM25|Infant mortality", US_national_yearly!$D:$AM, 16, FALSE) / VLOOKUP("electricity|PM25|Infant mortality", US_national_yearly!$D:$AM, 10, FALSE), 1)</f>
        <v>1.3828557519093206E-6</v>
      </c>
      <c r="I3" s="7">
        <f>$B3 * IFERROR(VLOOKUP("electricity|PM25|Infant mortality", US_national_yearly!$D:$AM, 17, FALSE) / VLOOKUP("electricity|PM25|Infant mortality", US_national_yearly!$D:$AM, 10, FALSE), 1)</f>
        <v>1.373092156642682E-6</v>
      </c>
      <c r="J3" s="7">
        <f>$B3 * IFERROR(VLOOKUP("electricity|PM25|Infant mortality", US_national_yearly!$D:$AM, 18, FALSE) / VLOOKUP("electricity|PM25|Infant mortality", US_national_yearly!$D:$AM, 10, FALSE), 1)</f>
        <v>1.363328561376044E-6</v>
      </c>
      <c r="K3" s="7">
        <f>$B3 * IFERROR(VLOOKUP("electricity|PM25|Infant mortality", US_national_yearly!$D:$AM, 19, FALSE) / VLOOKUP("electricity|PM25|Infant mortality", US_national_yearly!$D:$AM, 10, FALSE), 1)</f>
        <v>1.3535649661094053E-6</v>
      </c>
      <c r="L3" s="7">
        <f>$B3 * IFERROR(VLOOKUP("electricity|PM25|Infant mortality", US_national_yearly!$D:$AM, 20, FALSE) / VLOOKUP("electricity|PM25|Infant mortality", US_national_yearly!$D:$AM, 10, FALSE), 1)</f>
        <v>1.3438013708427669E-6</v>
      </c>
      <c r="M3" s="7">
        <f>$B3 * IFERROR(VLOOKUP("electricity|PM25|Infant mortality", US_national_yearly!$D:$AM, 21, FALSE) / VLOOKUP("electricity|PM25|Infant mortality", US_national_yearly!$D:$AM, 10, FALSE), 1)</f>
        <v>1.3340377755761287E-6</v>
      </c>
      <c r="N3" s="7">
        <f>$B3 * IFERROR(VLOOKUP("electricity|PM25|Infant mortality", US_national_yearly!$D:$AM, 22, FALSE) / VLOOKUP("electricity|PM25|Infant mortality", US_national_yearly!$D:$AM, 10, FALSE), 1)</f>
        <v>1.3277584875296515E-6</v>
      </c>
      <c r="O3" s="7">
        <f>$B3 * IFERROR(VLOOKUP("electricity|PM25|Infant mortality", US_national_yearly!$D:$AM, 23, FALSE) / VLOOKUP("electricity|PM25|Infant mortality", US_national_yearly!$D:$AM, 10, FALSE), 1)</f>
        <v>1.3214791994831745E-6</v>
      </c>
      <c r="P3" s="7">
        <f>$B3 * IFERROR(VLOOKUP("electricity|PM25|Infant mortality", US_national_yearly!$D:$AM, 24, FALSE) / VLOOKUP("electricity|PM25|Infant mortality", US_national_yearly!$D:$AM, 10, FALSE), 1)</f>
        <v>1.3151999114366971E-6</v>
      </c>
      <c r="Q3" s="7">
        <f>$B3 * IFERROR(VLOOKUP("electricity|PM25|Infant mortality", US_national_yearly!$D:$AM, 25, FALSE) / VLOOKUP("electricity|PM25|Infant mortality", US_national_yearly!$D:$AM, 10, FALSE), 1)</f>
        <v>1.3089206233902199E-6</v>
      </c>
      <c r="R3" s="7">
        <f>$B3 * IFERROR(VLOOKUP("electricity|PM25|Infant mortality", US_national_yearly!$D:$AM, 26, FALSE) / VLOOKUP("electricity|PM25|Infant mortality", US_national_yearly!$D:$AM, 10, FALSE), 1)</f>
        <v>1.3026413353437424E-6</v>
      </c>
      <c r="S3" s="7">
        <f>$B3 * IFERROR(VLOOKUP("electricity|PM25|Infant mortality", US_national_yearly!$D:$AM, 27, FALSE) / VLOOKUP("electricity|PM25|Infant mortality", US_national_yearly!$D:$AM, 10, FALSE), 1)</f>
        <v>1.2951186079438449E-6</v>
      </c>
      <c r="T3" s="7">
        <f>$B3 * IFERROR(VLOOKUP("electricity|PM25|Infant mortality", US_national_yearly!$D:$AM, 28, FALSE) / VLOOKUP("electricity|PM25|Infant mortality", US_national_yearly!$D:$AM, 10, FALSE), 1)</f>
        <v>1.2875958805439472E-6</v>
      </c>
      <c r="U3" s="7">
        <f>$B3 * IFERROR(VLOOKUP("electricity|PM25|Infant mortality", US_national_yearly!$D:$AM, 29, FALSE) / VLOOKUP("electricity|PM25|Infant mortality", US_national_yearly!$D:$AM, 10, FALSE), 1)</f>
        <v>1.2800731531440498E-6</v>
      </c>
      <c r="V3" s="7">
        <f>$B3 * IFERROR(VLOOKUP("electricity|PM25|Infant mortality", US_national_yearly!$D:$AM, 30, FALSE) / VLOOKUP("electricity|PM25|Infant mortality", US_national_yearly!$D:$AM, 10, FALSE), 1)</f>
        <v>1.2725504257441523E-6</v>
      </c>
      <c r="W3" s="7">
        <f>$B3 * IFERROR(VLOOKUP("electricity|PM25|Infant mortality", US_national_yearly!$D:$AM, 31, FALSE) / VLOOKUP("electricity|PM25|Infant mortality", US_national_yearly!$D:$AM, 10, FALSE), 1)</f>
        <v>1.2650276983442546E-6</v>
      </c>
      <c r="X3" s="7">
        <f>$B3 * IFERROR(VLOOKUP("electricity|PM25|Infant mortality", US_national_yearly!$D:$AM, 32, FALSE) / VLOOKUP("electricity|PM25|Infant mortality", US_national_yearly!$D:$AM, 10, FALSE), 1)</f>
        <v>1.2572538988319082E-6</v>
      </c>
      <c r="Y3" s="7">
        <f>$B3 * IFERROR(VLOOKUP("electricity|PM25|Infant mortality", US_national_yearly!$D:$AM, 33, FALSE) / VLOOKUP("electricity|PM25|Infant mortality", US_national_yearly!$D:$AM, 10, FALSE), 1)</f>
        <v>1.249480099319562E-6</v>
      </c>
      <c r="Z3" s="7">
        <f>$B3 * IFERROR(VLOOKUP("electricity|PM25|Infant mortality", US_national_yearly!$D:$AM, 34, FALSE) / VLOOKUP("electricity|PM25|Infant mortality", US_national_yearly!$D:$AM, 10, FALSE), 1)</f>
        <v>1.2417062998072156E-6</v>
      </c>
      <c r="AA3" s="7">
        <f>$B3 * IFERROR(VLOOKUP("electricity|PM25|Infant mortality", US_national_yearly!$D:$AM, 35, FALSE) / VLOOKUP("electricity|PM25|Infant mortality", US_national_yearly!$D:$AM, 10, FALSE), 1)</f>
        <v>1.2339325002948692E-6</v>
      </c>
      <c r="AB3" s="7">
        <f>$B3 * IFERROR(VLOOKUP("electricity|PM25|Infant mortality", US_national_yearly!$D:$AM, 36, FALSE) / VLOOKUP("electricity|PM25|Infant mortality", US_national_yearly!$D:$AM, 10, FALSE), 1)</f>
        <v>1.2261587007825228E-6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4.0393770639043699E-3</v>
      </c>
      <c r="C6" s="7">
        <f>$B6 * IFERROR(VLOOKUP("electricity|PM25|Asthma symptoms cough", US_national_yearly!$D:$AM, 11, FALSE) / VLOOKUP("electricity|PM25|Asthma symptoms cough", US_national_yearly!$D:$AM, 10, FALSE), 1)</f>
        <v>4.0393770639043699E-3</v>
      </c>
      <c r="D6" s="7">
        <f>$B6 * IFERROR(VLOOKUP("electricity|PM25|Asthma symptoms cough", US_national_yearly!$D:$AM, 12, FALSE) / VLOOKUP("electricity|PM25|Asthma symptoms cough", US_national_yearly!$D:$AM, 10, FALSE), 1)</f>
        <v>4.0393770639043699E-3</v>
      </c>
      <c r="E6" s="7">
        <f>$B6 * IFERROR(VLOOKUP("electricity|PM25|Asthma symptoms cough", US_national_yearly!$D:$AM, 13, FALSE) / VLOOKUP("electricity|PM25|Asthma symptoms cough", US_national_yearly!$D:$AM, 10, FALSE), 1)</f>
        <v>4.0393770639043699E-3</v>
      </c>
      <c r="F6" s="7">
        <f>$B6 * IFERROR(VLOOKUP("electricity|PM25|Asthma symptoms cough", US_national_yearly!$D:$AM, 14, FALSE) / VLOOKUP("electricity|PM25|Asthma symptoms cough", US_national_yearly!$D:$AM, 10, FALSE), 1)</f>
        <v>4.0393770639043699E-3</v>
      </c>
      <c r="G6" s="7">
        <f>$B6 * IFERROR(VLOOKUP("electricity|PM25|Asthma symptoms cough", US_national_yearly!$D:$AM, 15, FALSE) / VLOOKUP("electricity|PM25|Asthma symptoms cough", US_national_yearly!$D:$AM, 10, FALSE), 1)</f>
        <v>4.0393770639043699E-3</v>
      </c>
      <c r="H6" s="7">
        <f>$B6 * IFERROR(VLOOKUP("electricity|PM25|Asthma symptoms cough", US_national_yearly!$D:$AM, 16, FALSE) / VLOOKUP("electricity|PM25|Asthma symptoms cough", US_national_yearly!$D:$AM, 10, FALSE), 1)</f>
        <v>4.0393770639043699E-3</v>
      </c>
      <c r="I6" s="7">
        <f>$B6 * IFERROR(VLOOKUP("electricity|PM25|Asthma symptoms cough", US_national_yearly!$D:$AM, 17, FALSE) / VLOOKUP("electricity|PM25|Asthma symptoms cough", US_national_yearly!$D:$AM, 10, FALSE), 1)</f>
        <v>4.0393770639043699E-3</v>
      </c>
      <c r="J6" s="7">
        <f>$B6 * IFERROR(VLOOKUP("electricity|PM25|Asthma symptoms cough", US_national_yearly!$D:$AM, 18, FALSE) / VLOOKUP("electricity|PM25|Asthma symptoms cough", US_national_yearly!$D:$AM, 10, FALSE), 1)</f>
        <v>4.0393770639043699E-3</v>
      </c>
      <c r="K6" s="7">
        <f>$B6 * IFERROR(VLOOKUP("electricity|PM25|Asthma symptoms cough", US_national_yearly!$D:$AM, 19, FALSE) / VLOOKUP("electricity|PM25|Asthma symptoms cough", US_national_yearly!$D:$AM, 10, FALSE), 1)</f>
        <v>4.0393770639043699E-3</v>
      </c>
      <c r="L6" s="7">
        <f>$B6 * IFERROR(VLOOKUP("electricity|PM25|Asthma symptoms cough", US_national_yearly!$D:$AM, 20, FALSE) / VLOOKUP("electricity|PM25|Asthma symptoms cough", US_national_yearly!$D:$AM, 10, FALSE), 1)</f>
        <v>4.0393770639043699E-3</v>
      </c>
      <c r="M6" s="7">
        <f>$B6 * IFERROR(VLOOKUP("electricity|PM25|Asthma symptoms cough", US_national_yearly!$D:$AM, 21, FALSE) / VLOOKUP("electricity|PM25|Asthma symptoms cough", US_national_yearly!$D:$AM, 10, FALSE), 1)</f>
        <v>4.0393770639043699E-3</v>
      </c>
      <c r="N6" s="7">
        <f>$B6 * IFERROR(VLOOKUP("electricity|PM25|Asthma symptoms cough", US_national_yearly!$D:$AM, 22, FALSE) / VLOOKUP("electricity|PM25|Asthma symptoms cough", US_national_yearly!$D:$AM, 10, FALSE), 1)</f>
        <v>4.0393770639043699E-3</v>
      </c>
      <c r="O6" s="7">
        <f>$B6 * IFERROR(VLOOKUP("electricity|PM25|Asthma symptoms cough", US_national_yearly!$D:$AM, 23, FALSE) / VLOOKUP("electricity|PM25|Asthma symptoms cough", US_national_yearly!$D:$AM, 10, FALSE), 1)</f>
        <v>4.0393770639043699E-3</v>
      </c>
      <c r="P6" s="7">
        <f>$B6 * IFERROR(VLOOKUP("electricity|PM25|Asthma symptoms cough", US_national_yearly!$D:$AM, 24, FALSE) / VLOOKUP("electricity|PM25|Asthma symptoms cough", US_national_yearly!$D:$AM, 10, FALSE), 1)</f>
        <v>4.0393770639043699E-3</v>
      </c>
      <c r="Q6" s="7">
        <f>$B6 * IFERROR(VLOOKUP("electricity|PM25|Asthma symptoms cough", US_national_yearly!$D:$AM, 25, FALSE) / VLOOKUP("electricity|PM25|Asthma symptoms cough", US_national_yearly!$D:$AM, 10, FALSE), 1)</f>
        <v>4.0393770639043699E-3</v>
      </c>
      <c r="R6" s="7">
        <f>$B6 * IFERROR(VLOOKUP("electricity|PM25|Asthma symptoms cough", US_national_yearly!$D:$AM, 26, FALSE) / VLOOKUP("electricity|PM25|Asthma symptoms cough", US_national_yearly!$D:$AM, 10, FALSE), 1)</f>
        <v>4.0393770639043699E-3</v>
      </c>
      <c r="S6" s="7">
        <f>$B6 * IFERROR(VLOOKUP("electricity|PM25|Asthma symptoms cough", US_national_yearly!$D:$AM, 27, FALSE) / VLOOKUP("electricity|PM25|Asthma symptoms cough", US_national_yearly!$D:$AM, 10, FALSE), 1)</f>
        <v>4.0393770639043699E-3</v>
      </c>
      <c r="T6" s="7">
        <f>$B6 * IFERROR(VLOOKUP("electricity|PM25|Asthma symptoms cough", US_national_yearly!$D:$AM, 28, FALSE) / VLOOKUP("electricity|PM25|Asthma symptoms cough", US_national_yearly!$D:$AM, 10, FALSE), 1)</f>
        <v>4.0393770639043699E-3</v>
      </c>
      <c r="U6" s="7">
        <f>$B6 * IFERROR(VLOOKUP("electricity|PM25|Asthma symptoms cough", US_national_yearly!$D:$AM, 29, FALSE) / VLOOKUP("electricity|PM25|Asthma symptoms cough", US_national_yearly!$D:$AM, 10, FALSE), 1)</f>
        <v>4.0393770639043699E-3</v>
      </c>
      <c r="V6" s="7">
        <f>$B6 * IFERROR(VLOOKUP("electricity|PM25|Asthma symptoms cough", US_national_yearly!$D:$AM, 30, FALSE) / VLOOKUP("electricity|PM25|Asthma symptoms cough", US_national_yearly!$D:$AM, 10, FALSE), 1)</f>
        <v>4.0393770639043699E-3</v>
      </c>
      <c r="W6" s="7">
        <f>$B6 * IFERROR(VLOOKUP("electricity|PM25|Asthma symptoms cough", US_national_yearly!$D:$AM, 31, FALSE) / VLOOKUP("electricity|PM25|Asthma symptoms cough", US_national_yearly!$D:$AM, 10, FALSE), 1)</f>
        <v>4.0393770639043699E-3</v>
      </c>
      <c r="X6" s="7">
        <f>$B6 * IFERROR(VLOOKUP("electricity|PM25|Asthma symptoms cough", US_national_yearly!$D:$AM, 32, FALSE) / VLOOKUP("electricity|PM25|Asthma symptoms cough", US_national_yearly!$D:$AM, 10, FALSE), 1)</f>
        <v>4.0393770639043699E-3</v>
      </c>
      <c r="Y6" s="7">
        <f>$B6 * IFERROR(VLOOKUP("electricity|PM25|Asthma symptoms cough", US_national_yearly!$D:$AM, 33, FALSE) / VLOOKUP("electricity|PM25|Asthma symptoms cough", US_national_yearly!$D:$AM, 10, FALSE), 1)</f>
        <v>4.0393770639043699E-3</v>
      </c>
      <c r="Z6" s="7">
        <f>$B6 * IFERROR(VLOOKUP("electricity|PM25|Asthma symptoms cough", US_national_yearly!$D:$AM, 34, FALSE) / VLOOKUP("electricity|PM25|Asthma symptoms cough", US_national_yearly!$D:$AM, 10, FALSE), 1)</f>
        <v>4.0393770639043699E-3</v>
      </c>
      <c r="AA6" s="7">
        <f>$B6 * IFERROR(VLOOKUP("electricity|PM25|Asthma symptoms cough", US_national_yearly!$D:$AM, 35, FALSE) / VLOOKUP("electricity|PM25|Asthma symptoms cough", US_national_yearly!$D:$AM, 10, FALSE), 1)</f>
        <v>4.0393770639043699E-3</v>
      </c>
      <c r="AB6" s="7">
        <f>$B6 * IFERROR(VLOOKUP("electricity|PM25|Asthma symptoms cough", US_national_yearly!$D:$AM, 36, FALSE) / VLOOKUP("electricity|PM25|Asthma symptoms cough", US_national_yearly!$D:$AM, 10, FALSE), 1)</f>
        <v>4.0393770639043699E-3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5.4396134515233337E-3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5.4396134515233337E-3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5.4396134515233337E-3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5.4396134515233337E-3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5.4396134515233337E-3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5.4396134515233337E-3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5.4396134515233337E-3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5.4396134515233337E-3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5.4396134515233337E-3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5.4396134515233337E-3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5.4396134515233337E-3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5.4396134515233337E-3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5.4396134515233337E-3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5.4396134515233337E-3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5.4396134515233337E-3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5.4396134515233337E-3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5.4396134515233337E-3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5.4396134515233337E-3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5.4396134515233337E-3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5.4396134515233337E-3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5.4396134515233337E-3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5.4396134515233337E-3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5.4396134515233337E-3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5.4396134515233337E-3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5.4396134515233337E-3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5.4396134515233337E-3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5.4396134515233337E-3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8.3107858748532257E-3</v>
      </c>
      <c r="C8" s="7">
        <f>$B8 * IFERROR(VLOOKUP("electricity|PM25|Asthma symptoms wheeze", US_national_yearly!$D:$AM, 11, FALSE) / VLOOKUP("electricity|PM25|Asthma symptoms wheeze", US_national_yearly!$D:$AM, 10, FALSE), 1)</f>
        <v>8.3107858748532257E-3</v>
      </c>
      <c r="D8" s="7">
        <f>$B8 * IFERROR(VLOOKUP("electricity|PM25|Asthma symptoms wheeze", US_national_yearly!$D:$AM, 12, FALSE) / VLOOKUP("electricity|PM25|Asthma symptoms wheeze", US_national_yearly!$D:$AM, 10, FALSE), 1)</f>
        <v>8.3107858748532257E-3</v>
      </c>
      <c r="E8" s="7">
        <f>$B8 * IFERROR(VLOOKUP("electricity|PM25|Asthma symptoms wheeze", US_national_yearly!$D:$AM, 13, FALSE) / VLOOKUP("electricity|PM25|Asthma symptoms wheeze", US_national_yearly!$D:$AM, 10, FALSE), 1)</f>
        <v>8.3107858748532257E-3</v>
      </c>
      <c r="F8" s="7">
        <f>$B8 * IFERROR(VLOOKUP("electricity|PM25|Asthma symptoms wheeze", US_national_yearly!$D:$AM, 14, FALSE) / VLOOKUP("electricity|PM25|Asthma symptoms wheeze", US_national_yearly!$D:$AM, 10, FALSE), 1)</f>
        <v>8.3107858748532257E-3</v>
      </c>
      <c r="G8" s="7">
        <f>$B8 * IFERROR(VLOOKUP("electricity|PM25|Asthma symptoms wheeze", US_national_yearly!$D:$AM, 15, FALSE) / VLOOKUP("electricity|PM25|Asthma symptoms wheeze", US_national_yearly!$D:$AM, 10, FALSE), 1)</f>
        <v>8.3107858748532257E-3</v>
      </c>
      <c r="H8" s="7">
        <f>$B8 * IFERROR(VLOOKUP("electricity|PM25|Asthma symptoms wheeze", US_national_yearly!$D:$AM, 16, FALSE) / VLOOKUP("electricity|PM25|Asthma symptoms wheeze", US_national_yearly!$D:$AM, 10, FALSE), 1)</f>
        <v>8.3107858748532257E-3</v>
      </c>
      <c r="I8" s="7">
        <f>$B8 * IFERROR(VLOOKUP("electricity|PM25|Asthma symptoms wheeze", US_national_yearly!$D:$AM, 17, FALSE) / VLOOKUP("electricity|PM25|Asthma symptoms wheeze", US_national_yearly!$D:$AM, 10, FALSE), 1)</f>
        <v>8.3107858748532257E-3</v>
      </c>
      <c r="J8" s="7">
        <f>$B8 * IFERROR(VLOOKUP("electricity|PM25|Asthma symptoms wheeze", US_national_yearly!$D:$AM, 18, FALSE) / VLOOKUP("electricity|PM25|Asthma symptoms wheeze", US_national_yearly!$D:$AM, 10, FALSE), 1)</f>
        <v>8.3107858748532257E-3</v>
      </c>
      <c r="K8" s="7">
        <f>$B8 * IFERROR(VLOOKUP("electricity|PM25|Asthma symptoms wheeze", US_national_yearly!$D:$AM, 19, FALSE) / VLOOKUP("electricity|PM25|Asthma symptoms wheeze", US_national_yearly!$D:$AM, 10, FALSE), 1)</f>
        <v>8.3107858748532257E-3</v>
      </c>
      <c r="L8" s="7">
        <f>$B8 * IFERROR(VLOOKUP("electricity|PM25|Asthma symptoms wheeze", US_national_yearly!$D:$AM, 20, FALSE) / VLOOKUP("electricity|PM25|Asthma symptoms wheeze", US_national_yearly!$D:$AM, 10, FALSE), 1)</f>
        <v>8.3107858748532257E-3</v>
      </c>
      <c r="M8" s="7">
        <f>$B8 * IFERROR(VLOOKUP("electricity|PM25|Asthma symptoms wheeze", US_national_yearly!$D:$AM, 21, FALSE) / VLOOKUP("electricity|PM25|Asthma symptoms wheeze", US_national_yearly!$D:$AM, 10, FALSE), 1)</f>
        <v>8.3107858748532257E-3</v>
      </c>
      <c r="N8" s="7">
        <f>$B8 * IFERROR(VLOOKUP("electricity|PM25|Asthma symptoms wheeze", US_national_yearly!$D:$AM, 22, FALSE) / VLOOKUP("electricity|PM25|Asthma symptoms wheeze", US_national_yearly!$D:$AM, 10, FALSE), 1)</f>
        <v>8.3107858748532257E-3</v>
      </c>
      <c r="O8" s="7">
        <f>$B8 * IFERROR(VLOOKUP("electricity|PM25|Asthma symptoms wheeze", US_national_yearly!$D:$AM, 23, FALSE) / VLOOKUP("electricity|PM25|Asthma symptoms wheeze", US_national_yearly!$D:$AM, 10, FALSE), 1)</f>
        <v>8.3107858748532257E-3</v>
      </c>
      <c r="P8" s="7">
        <f>$B8 * IFERROR(VLOOKUP("electricity|PM25|Asthma symptoms wheeze", US_national_yearly!$D:$AM, 24, FALSE) / VLOOKUP("electricity|PM25|Asthma symptoms wheeze", US_national_yearly!$D:$AM, 10, FALSE), 1)</f>
        <v>8.3107858748532257E-3</v>
      </c>
      <c r="Q8" s="7">
        <f>$B8 * IFERROR(VLOOKUP("electricity|PM25|Asthma symptoms wheeze", US_national_yearly!$D:$AM, 25, FALSE) / VLOOKUP("electricity|PM25|Asthma symptoms wheeze", US_national_yearly!$D:$AM, 10, FALSE), 1)</f>
        <v>8.3107858748532257E-3</v>
      </c>
      <c r="R8" s="7">
        <f>$B8 * IFERROR(VLOOKUP("electricity|PM25|Asthma symptoms wheeze", US_national_yearly!$D:$AM, 26, FALSE) / VLOOKUP("electricity|PM25|Asthma symptoms wheeze", US_national_yearly!$D:$AM, 10, FALSE), 1)</f>
        <v>8.3107858748532257E-3</v>
      </c>
      <c r="S8" s="7">
        <f>$B8 * IFERROR(VLOOKUP("electricity|PM25|Asthma symptoms wheeze", US_national_yearly!$D:$AM, 27, FALSE) / VLOOKUP("electricity|PM25|Asthma symptoms wheeze", US_national_yearly!$D:$AM, 10, FALSE), 1)</f>
        <v>8.3107858748532257E-3</v>
      </c>
      <c r="T8" s="7">
        <f>$B8 * IFERROR(VLOOKUP("electricity|PM25|Asthma symptoms wheeze", US_national_yearly!$D:$AM, 28, FALSE) / VLOOKUP("electricity|PM25|Asthma symptoms wheeze", US_national_yearly!$D:$AM, 10, FALSE), 1)</f>
        <v>8.3107858748532257E-3</v>
      </c>
      <c r="U8" s="7">
        <f>$B8 * IFERROR(VLOOKUP("electricity|PM25|Asthma symptoms wheeze", US_national_yearly!$D:$AM, 29, FALSE) / VLOOKUP("electricity|PM25|Asthma symptoms wheeze", US_national_yearly!$D:$AM, 10, FALSE), 1)</f>
        <v>8.3107858748532257E-3</v>
      </c>
      <c r="V8" s="7">
        <f>$B8 * IFERROR(VLOOKUP("electricity|PM25|Asthma symptoms wheeze", US_national_yearly!$D:$AM, 30, FALSE) / VLOOKUP("electricity|PM25|Asthma symptoms wheeze", US_national_yearly!$D:$AM, 10, FALSE), 1)</f>
        <v>8.3107858748532257E-3</v>
      </c>
      <c r="W8" s="7">
        <f>$B8 * IFERROR(VLOOKUP("electricity|PM25|Asthma symptoms wheeze", US_national_yearly!$D:$AM, 31, FALSE) / VLOOKUP("electricity|PM25|Asthma symptoms wheeze", US_national_yearly!$D:$AM, 10, FALSE), 1)</f>
        <v>8.3107858748532257E-3</v>
      </c>
      <c r="X8" s="7">
        <f>$B8 * IFERROR(VLOOKUP("electricity|PM25|Asthma symptoms wheeze", US_national_yearly!$D:$AM, 32, FALSE) / VLOOKUP("electricity|PM25|Asthma symptoms wheeze", US_national_yearly!$D:$AM, 10, FALSE), 1)</f>
        <v>8.3107858748532257E-3</v>
      </c>
      <c r="Y8" s="7">
        <f>$B8 * IFERROR(VLOOKUP("electricity|PM25|Asthma symptoms wheeze", US_national_yearly!$D:$AM, 33, FALSE) / VLOOKUP("electricity|PM25|Asthma symptoms wheeze", US_national_yearly!$D:$AM, 10, FALSE), 1)</f>
        <v>8.3107858748532257E-3</v>
      </c>
      <c r="Z8" s="7">
        <f>$B8 * IFERROR(VLOOKUP("electricity|PM25|Asthma symptoms wheeze", US_national_yearly!$D:$AM, 34, FALSE) / VLOOKUP("electricity|PM25|Asthma symptoms wheeze", US_national_yearly!$D:$AM, 10, FALSE), 1)</f>
        <v>8.3107858748532257E-3</v>
      </c>
      <c r="AA8" s="7">
        <f>$B8 * IFERROR(VLOOKUP("electricity|PM25|Asthma symptoms wheeze", US_national_yearly!$D:$AM, 35, FALSE) / VLOOKUP("electricity|PM25|Asthma symptoms wheeze", US_national_yearly!$D:$AM, 10, FALSE), 1)</f>
        <v>8.3107858748532257E-3</v>
      </c>
      <c r="AB8" s="7">
        <f>$B8 * IFERROR(VLOOKUP("electricity|PM25|Asthma symptoms wheeze", US_national_yearly!$D:$AM, 36, FALSE) / VLOOKUP("electricity|PM25|Asthma symptoms wheeze", US_national_yearly!$D:$AM, 10, FALSE), 1)</f>
        <v>8.3107858748532257E-3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9.4905875602790428E-5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9.5427466741115259E-5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9.5949057879440064E-5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9.6470649017764922E-5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9.6992240156089726E-5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9.7551373035288126E-5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9.8110505914486513E-5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9.861003402163877E-5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9.9109562128791E-5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9.9609090235943231E-5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1.0010861834309546E-4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1.006081464502477E-4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1.009450958964302E-4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1.0128204534261273E-4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1.0161899478879525E-4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1.0195594423497775E-4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1.0229289368116026E-4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1.0260688344200073E-4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1.0292087320284117E-4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1.0323486296368163E-4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1.0354885272452208E-4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1.0386284248536251E-4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1.0417331856403639E-4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1.0448379464271024E-4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1.0479427072138409E-4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1.0510474680005794E-4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1.0541522287873181E-4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5.4640556945518605E-4</v>
      </c>
      <c r="C13" s="7">
        <f>$B13 * IFERROR(VLOOKUP("electricity|PM25|Non-fatal heart attacks", US_national_yearly!$D:$AM, 11, FALSE) / VLOOKUP("electricity|PM25|Non-fatal heart attacks", US_national_yearly!$D:$AM, 10, FALSE), 1)</f>
        <v>5.622321094172414E-4</v>
      </c>
      <c r="D13" s="7">
        <f>$B13 * IFERROR(VLOOKUP("electricity|PM25|Non-fatal heart attacks", US_national_yearly!$D:$AM, 12, FALSE) / VLOOKUP("electricity|PM25|Non-fatal heart attacks", US_national_yearly!$D:$AM, 10, FALSE), 1)</f>
        <v>5.7805864937929676E-4</v>
      </c>
      <c r="E13" s="7">
        <f>$B13 * IFERROR(VLOOKUP("electricity|PM25|Non-fatal heart attacks", US_national_yearly!$D:$AM, 13, FALSE) / VLOOKUP("electricity|PM25|Non-fatal heart attacks", US_national_yearly!$D:$AM, 10, FALSE), 1)</f>
        <v>5.93885189341352E-4</v>
      </c>
      <c r="F13" s="7">
        <f>$B13 * IFERROR(VLOOKUP("electricity|PM25|Non-fatal heart attacks", US_national_yearly!$D:$AM, 14, FALSE) / VLOOKUP("electricity|PM25|Non-fatal heart attacks", US_national_yearly!$D:$AM, 10, FALSE), 1)</f>
        <v>6.0971172930340725E-4</v>
      </c>
      <c r="G13" s="7">
        <f>$B13 * IFERROR(VLOOKUP("electricity|PM25|Non-fatal heart attacks", US_national_yearly!$D:$AM, 15, FALSE) / VLOOKUP("electricity|PM25|Non-fatal heart attacks", US_national_yearly!$D:$AM, 10, FALSE), 1)</f>
        <v>6.2473375869350877E-4</v>
      </c>
      <c r="H13" s="7">
        <f>$B13 * IFERROR(VLOOKUP("electricity|PM25|Non-fatal heart attacks", US_national_yearly!$D:$AM, 16, FALSE) / VLOOKUP("electricity|PM25|Non-fatal heart attacks", US_national_yearly!$D:$AM, 10, FALSE), 1)</f>
        <v>6.3975578808361008E-4</v>
      </c>
      <c r="I13" s="7">
        <f>$B13 * IFERROR(VLOOKUP("electricity|PM25|Non-fatal heart attacks", US_national_yearly!$D:$AM, 17, FALSE) / VLOOKUP("electricity|PM25|Non-fatal heart attacks", US_national_yearly!$D:$AM, 10, FALSE), 1)</f>
        <v>6.5201199063137497E-4</v>
      </c>
      <c r="J13" s="7">
        <f>$B13 * IFERROR(VLOOKUP("electricity|PM25|Non-fatal heart attacks", US_national_yearly!$D:$AM, 18, FALSE) / VLOOKUP("electricity|PM25|Non-fatal heart attacks", US_national_yearly!$D:$AM, 10, FALSE), 1)</f>
        <v>6.6426819317913987E-4</v>
      </c>
      <c r="K13" s="7">
        <f>$B13 * IFERROR(VLOOKUP("electricity|PM25|Non-fatal heart attacks", US_national_yearly!$D:$AM, 19, FALSE) / VLOOKUP("electricity|PM25|Non-fatal heart attacks", US_national_yearly!$D:$AM, 10, FALSE), 1)</f>
        <v>6.7652439572690455E-4</v>
      </c>
      <c r="L13" s="7">
        <f>$B13 * IFERROR(VLOOKUP("electricity|PM25|Non-fatal heart attacks", US_national_yearly!$D:$AM, 20, FALSE) / VLOOKUP("electricity|PM25|Non-fatal heart attacks", US_national_yearly!$D:$AM, 10, FALSE), 1)</f>
        <v>6.8878059827466934E-4</v>
      </c>
      <c r="M13" s="7">
        <f>$B13 * IFERROR(VLOOKUP("electricity|PM25|Non-fatal heart attacks", US_national_yearly!$D:$AM, 21, FALSE) / VLOOKUP("electricity|PM25|Non-fatal heart attacks", US_national_yearly!$D:$AM, 10, FALSE), 1)</f>
        <v>7.0103680082243434E-4</v>
      </c>
      <c r="N13" s="7">
        <f>$B13 * IFERROR(VLOOKUP("electricity|PM25|Non-fatal heart attacks", US_national_yearly!$D:$AM, 22, FALSE) / VLOOKUP("electricity|PM25|Non-fatal heart attacks", US_national_yearly!$D:$AM, 10, FALSE), 1)</f>
        <v>7.0898949408801501E-4</v>
      </c>
      <c r="O13" s="7">
        <f>$B13 * IFERROR(VLOOKUP("electricity|PM25|Non-fatal heart attacks", US_national_yearly!$D:$AM, 23, FALSE) / VLOOKUP("electricity|PM25|Non-fatal heart attacks", US_national_yearly!$D:$AM, 10, FALSE), 1)</f>
        <v>7.1694218735359567E-4</v>
      </c>
      <c r="P13" s="7">
        <f>$B13 * IFERROR(VLOOKUP("electricity|PM25|Non-fatal heart attacks", US_national_yearly!$D:$AM, 24, FALSE) / VLOOKUP("electricity|PM25|Non-fatal heart attacks", US_national_yearly!$D:$AM, 10, FALSE), 1)</f>
        <v>7.2489488061917612E-4</v>
      </c>
      <c r="Q13" s="7">
        <f>$B13 * IFERROR(VLOOKUP("electricity|PM25|Non-fatal heart attacks", US_national_yearly!$D:$AM, 25, FALSE) / VLOOKUP("electricity|PM25|Non-fatal heart attacks", US_national_yearly!$D:$AM, 10, FALSE), 1)</f>
        <v>7.3284757388475679E-4</v>
      </c>
      <c r="R13" s="7">
        <f>$B13 * IFERROR(VLOOKUP("electricity|PM25|Non-fatal heart attacks", US_national_yearly!$D:$AM, 26, FALSE) / VLOOKUP("electricity|PM25|Non-fatal heart attacks", US_national_yearly!$D:$AM, 10, FALSE), 1)</f>
        <v>7.4080026715033745E-4</v>
      </c>
      <c r="S13" s="7">
        <f>$B13 * IFERROR(VLOOKUP("electricity|PM25|Non-fatal heart attacks", US_national_yearly!$D:$AM, 27, FALSE) / VLOOKUP("electricity|PM25|Non-fatal heart attacks", US_national_yearly!$D:$AM, 10, FALSE), 1)</f>
        <v>7.451784290993267E-4</v>
      </c>
      <c r="T13" s="7">
        <f>$B13 * IFERROR(VLOOKUP("electricity|PM25|Non-fatal heart attacks", US_national_yearly!$D:$AM, 28, FALSE) / VLOOKUP("electricity|PM25|Non-fatal heart attacks", US_national_yearly!$D:$AM, 10, FALSE), 1)</f>
        <v>7.4955659104831605E-4</v>
      </c>
      <c r="U13" s="7">
        <f>$B13 * IFERROR(VLOOKUP("electricity|PM25|Non-fatal heart attacks", US_national_yearly!$D:$AM, 29, FALSE) / VLOOKUP("electricity|PM25|Non-fatal heart attacks", US_national_yearly!$D:$AM, 10, FALSE), 1)</f>
        <v>7.5393475299730529E-4</v>
      </c>
      <c r="V13" s="7">
        <f>$B13 * IFERROR(VLOOKUP("electricity|PM25|Non-fatal heart attacks", US_national_yearly!$D:$AM, 30, FALSE) / VLOOKUP("electricity|PM25|Non-fatal heart attacks", US_national_yearly!$D:$AM, 10, FALSE), 1)</f>
        <v>7.5831291494629454E-4</v>
      </c>
      <c r="W13" s="7">
        <f>$B13 * IFERROR(VLOOKUP("electricity|PM25|Non-fatal heart attacks", US_national_yearly!$D:$AM, 31, FALSE) / VLOOKUP("electricity|PM25|Non-fatal heart attacks", US_national_yearly!$D:$AM, 10, FALSE), 1)</f>
        <v>7.62691076895284E-4</v>
      </c>
      <c r="X13" s="7">
        <f>$B13 * IFERROR(VLOOKUP("electricity|PM25|Non-fatal heart attacks", US_national_yearly!$D:$AM, 32, FALSE) / VLOOKUP("electricity|PM25|Non-fatal heart attacks", US_national_yearly!$D:$AM, 10, FALSE), 1)</f>
        <v>7.6611618209978789E-4</v>
      </c>
      <c r="Y13" s="7">
        <f>$B13 * IFERROR(VLOOKUP("electricity|PM25|Non-fatal heart attacks", US_national_yearly!$D:$AM, 33, FALSE) / VLOOKUP("electricity|PM25|Non-fatal heart attacks", US_national_yearly!$D:$AM, 10, FALSE), 1)</f>
        <v>7.6954128730429201E-4</v>
      </c>
      <c r="Z13" s="7">
        <f>$B13 * IFERROR(VLOOKUP("electricity|PM25|Non-fatal heart attacks", US_national_yearly!$D:$AM, 34, FALSE) / VLOOKUP("electricity|PM25|Non-fatal heart attacks", US_national_yearly!$D:$AM, 10, FALSE), 1)</f>
        <v>7.729663925087959E-4</v>
      </c>
      <c r="AA13" s="7">
        <f>$B13 * IFERROR(VLOOKUP("electricity|PM25|Non-fatal heart attacks", US_national_yearly!$D:$AM, 35, FALSE) / VLOOKUP("electricity|PM25|Non-fatal heart attacks", US_national_yearly!$D:$AM, 10, FALSE), 1)</f>
        <v>7.7639149771330013E-4</v>
      </c>
      <c r="AB13" s="7">
        <f>$B13 * IFERROR(VLOOKUP("electricity|PM25|Non-fatal heart attacks", US_national_yearly!$D:$AM, 36, FALSE) / VLOOKUP("electricity|PM25|Non-fatal heart attacks", US_national_yearly!$D:$AM, 10, FALSE), 1)</f>
        <v>7.7981660291780413E-4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0.44038831614829843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0.44136594860830058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0.44234358106830285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0.443321213528305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0.44429884598830727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0.44574953927691735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0.44720023256552749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0.44976176188515343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0.45232329120477943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0.45488482052440532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0.45744634984403132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0.46000787916365726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0.46356145908508217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0.46711503900650719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0.47066861892793227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0.47422219884935729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0.4777757787707822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0.48136001012090818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0.48494424147103404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0.48852847282115991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0.49211270417128583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0.4956969355214117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0.49876936992513982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0.50184180432886794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0.50491423873259611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0.50798667313632417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0.51105910754005246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7.4757086814319834E-2</v>
      </c>
      <c r="C15" s="7">
        <f>$B15 * IFERROR(VLOOKUP("electricity|PM25|Work loss days", US_national_yearly!$D:$AM, 11, FALSE) / VLOOKUP("electricity|PM25|Work loss days", US_national_yearly!$D:$AM, 10, FALSE), 1)</f>
        <v>7.497100853956333E-2</v>
      </c>
      <c r="D15" s="7">
        <f>$B15 * IFERROR(VLOOKUP("electricity|PM25|Work loss days", US_national_yearly!$D:$AM, 12, FALSE) / VLOOKUP("electricity|PM25|Work loss days", US_national_yearly!$D:$AM, 10, FALSE), 1)</f>
        <v>7.518493026480684E-2</v>
      </c>
      <c r="E15" s="7">
        <f>$B15 * IFERROR(VLOOKUP("electricity|PM25|Work loss days", US_national_yearly!$D:$AM, 13, FALSE) / VLOOKUP("electricity|PM25|Work loss days", US_national_yearly!$D:$AM, 10, FALSE), 1)</f>
        <v>7.5398851990050336E-2</v>
      </c>
      <c r="F15" s="7">
        <f>$B15 * IFERROR(VLOOKUP("electricity|PM25|Work loss days", US_national_yearly!$D:$AM, 14, FALSE) / VLOOKUP("electricity|PM25|Work loss days", US_national_yearly!$D:$AM, 10, FALSE), 1)</f>
        <v>7.5612773715293846E-2</v>
      </c>
      <c r="G15" s="7">
        <f>$B15 * IFERROR(VLOOKUP("electricity|PM25|Work loss days", US_national_yearly!$D:$AM, 15, FALSE) / VLOOKUP("electricity|PM25|Work loss days", US_national_yearly!$D:$AM, 10, FALSE), 1)</f>
        <v>7.5889898328707975E-2</v>
      </c>
      <c r="H15" s="7">
        <f>$B15 * IFERROR(VLOOKUP("electricity|PM25|Work loss days", US_national_yearly!$D:$AM, 16, FALSE) / VLOOKUP("electricity|PM25|Work loss days", US_national_yearly!$D:$AM, 10, FALSE), 1)</f>
        <v>7.6167022942122117E-2</v>
      </c>
      <c r="I15" s="7">
        <f>$B15 * IFERROR(VLOOKUP("electricity|PM25|Work loss days", US_national_yearly!$D:$AM, 17, FALSE) / VLOOKUP("electricity|PM25|Work loss days", US_national_yearly!$D:$AM, 10, FALSE), 1)</f>
        <v>7.6583632476834348E-2</v>
      </c>
      <c r="J15" s="7">
        <f>$B15 * IFERROR(VLOOKUP("electricity|PM25|Work loss days", US_national_yearly!$D:$AM, 18, FALSE) / VLOOKUP("electricity|PM25|Work loss days", US_national_yearly!$D:$AM, 10, FALSE), 1)</f>
        <v>7.7000242011546566E-2</v>
      </c>
      <c r="K15" s="7">
        <f>$B15 * IFERROR(VLOOKUP("electricity|PM25|Work loss days", US_national_yearly!$D:$AM, 19, FALSE) / VLOOKUP("electricity|PM25|Work loss days", US_national_yearly!$D:$AM, 10, FALSE), 1)</f>
        <v>7.7416851546258797E-2</v>
      </c>
      <c r="L15" s="7">
        <f>$B15 * IFERROR(VLOOKUP("electricity|PM25|Work loss days", US_national_yearly!$D:$AM, 20, FALSE) / VLOOKUP("electricity|PM25|Work loss days", US_national_yearly!$D:$AM, 10, FALSE), 1)</f>
        <v>7.7833461080971028E-2</v>
      </c>
      <c r="M15" s="7">
        <f>$B15 * IFERROR(VLOOKUP("electricity|PM25|Work loss days", US_national_yearly!$D:$AM, 21, FALSE) / VLOOKUP("electricity|PM25|Work loss days", US_national_yearly!$D:$AM, 10, FALSE), 1)</f>
        <v>7.8250070615683259E-2</v>
      </c>
      <c r="N15" s="7">
        <f>$B15 * IFERROR(VLOOKUP("electricity|PM25|Work loss days", US_national_yearly!$D:$AM, 22, FALSE) / VLOOKUP("electricity|PM25|Work loss days", US_national_yearly!$D:$AM, 10, FALSE), 1)</f>
        <v>7.8787942447062068E-2</v>
      </c>
      <c r="O15" s="7">
        <f>$B15 * IFERROR(VLOOKUP("electricity|PM25|Work loss days", US_national_yearly!$D:$AM, 23, FALSE) / VLOOKUP("electricity|PM25|Work loss days", US_national_yearly!$D:$AM, 10, FALSE), 1)</f>
        <v>7.932581427844089E-2</v>
      </c>
      <c r="P15" s="7">
        <f>$B15 * IFERROR(VLOOKUP("electricity|PM25|Work loss days", US_national_yearly!$D:$AM, 24, FALSE) / VLOOKUP("electricity|PM25|Work loss days", US_national_yearly!$D:$AM, 10, FALSE), 1)</f>
        <v>7.9863686109819684E-2</v>
      </c>
      <c r="Q15" s="7">
        <f>$B15 * IFERROR(VLOOKUP("electricity|PM25|Work loss days", US_national_yearly!$D:$AM, 25, FALSE) / VLOOKUP("electricity|PM25|Work loss days", US_national_yearly!$D:$AM, 10, FALSE), 1)</f>
        <v>8.0401557941198493E-2</v>
      </c>
      <c r="R15" s="7">
        <f>$B15 * IFERROR(VLOOKUP("electricity|PM25|Work loss days", US_national_yearly!$D:$AM, 26, FALSE) / VLOOKUP("electricity|PM25|Work loss days", US_national_yearly!$D:$AM, 10, FALSE), 1)</f>
        <v>8.0939429772577301E-2</v>
      </c>
      <c r="S15" s="7">
        <f>$B15 * IFERROR(VLOOKUP("electricity|PM25|Work loss days", US_national_yearly!$D:$AM, 27, FALSE) / VLOOKUP("electricity|PM25|Work loss days", US_national_yearly!$D:$AM, 10, FALSE), 1)</f>
        <v>8.1536277574772331E-2</v>
      </c>
      <c r="T15" s="7">
        <f>$B15 * IFERROR(VLOOKUP("electricity|PM25|Work loss days", US_national_yearly!$D:$AM, 28, FALSE) / VLOOKUP("electricity|PM25|Work loss days", US_national_yearly!$D:$AM, 10, FALSE), 1)</f>
        <v>8.2133125376967375E-2</v>
      </c>
      <c r="U15" s="7">
        <f>$B15 * IFERROR(VLOOKUP("electricity|PM25|Work loss days", US_national_yearly!$D:$AM, 29, FALSE) / VLOOKUP("electricity|PM25|Work loss days", US_national_yearly!$D:$AM, 10, FALSE), 1)</f>
        <v>8.2729973179162419E-2</v>
      </c>
      <c r="V15" s="7">
        <f>$B15 * IFERROR(VLOOKUP("electricity|PM25|Work loss days", US_national_yearly!$D:$AM, 30, FALSE) / VLOOKUP("electricity|PM25|Work loss days", US_national_yearly!$D:$AM, 10, FALSE), 1)</f>
        <v>8.3326820981357463E-2</v>
      </c>
      <c r="W15" s="7">
        <f>$B15 * IFERROR(VLOOKUP("electricity|PM25|Work loss days", US_national_yearly!$D:$AM, 31, FALSE) / VLOOKUP("electricity|PM25|Work loss days", US_national_yearly!$D:$AM, 10, FALSE), 1)</f>
        <v>8.3923668783552494E-2</v>
      </c>
      <c r="X15" s="7">
        <f>$B15 * IFERROR(VLOOKUP("electricity|PM25|Work loss days", US_national_yearly!$D:$AM, 32, FALSE) / VLOOKUP("electricity|PM25|Work loss days", US_national_yearly!$D:$AM, 10, FALSE), 1)</f>
        <v>8.4450186479145928E-2</v>
      </c>
      <c r="Y15" s="7">
        <f>$B15 * IFERROR(VLOOKUP("electricity|PM25|Work loss days", US_national_yearly!$D:$AM, 33, FALSE) / VLOOKUP("electricity|PM25|Work loss days", US_national_yearly!$D:$AM, 10, FALSE), 1)</f>
        <v>8.497670417473932E-2</v>
      </c>
      <c r="Z15" s="7">
        <f>$B15 * IFERROR(VLOOKUP("electricity|PM25|Work loss days", US_national_yearly!$D:$AM, 34, FALSE) / VLOOKUP("electricity|PM25|Work loss days", US_national_yearly!$D:$AM, 10, FALSE), 1)</f>
        <v>8.5503221870332741E-2</v>
      </c>
      <c r="AA15" s="7">
        <f>$B15 * IFERROR(VLOOKUP("electricity|PM25|Work loss days", US_national_yearly!$D:$AM, 35, FALSE) / VLOOKUP("electricity|PM25|Work loss days", US_national_yearly!$D:$AM, 10, FALSE), 1)</f>
        <v>8.6029739565926161E-2</v>
      </c>
      <c r="AB15" s="7">
        <f>$B15 * IFERROR(VLOOKUP("electricity|PM25|Work loss days", US_national_yearly!$D:$AM, 36, FALSE) / VLOOKUP("electricity|PM25|Work loss days", US_national_yearly!$D:$AM, 10, FALSE), 1)</f>
        <v>8.6556257261519581E-2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1.0529356818243424E-4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1.0841814525400677E-4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1.115427223255793E-4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1.1466729939715182E-4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1.1779187646872436E-4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1.2080552620681164E-4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1.2381917594489892E-4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1.2642983886064911E-4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1.2904050177639932E-4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1.3165116469214948E-4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1.3426182760789969E-4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1.3687249052364984E-4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1.3862743797382119E-4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1.4038238542399254E-4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1.4213733287416386E-4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1.4389228032433521E-4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1.4564722777450653E-4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1.4661578561479029E-4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1.4758434345507403E-4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1.485529012953578E-4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1.4952145913564154E-4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1.5049001697592531E-4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1.5116573537795762E-4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1.518414537799899E-4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1.5251717218202221E-4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1.5319289058405455E-4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1.5386860898608686E-4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7.0381328817917087E-6</v>
      </c>
      <c r="C2" s="7">
        <f>$B2 * IFERROR(VLOOKUP("electricity|NOx|Premature mortality", US_national_yearly!$D:$AM, 11, FALSE) / VLOOKUP("electricity|NOx|Premature mortality", US_national_yearly!$D:$AM, 10, FALSE), 1)</f>
        <v>7.1446242924108226E-6</v>
      </c>
      <c r="D2" s="7">
        <f>$B2 * IFERROR(VLOOKUP("electricity|NOx|Premature mortality", US_national_yearly!$D:$AM, 12, FALSE) / VLOOKUP("electricity|NOx|Premature mortality", US_national_yearly!$D:$AM, 10, FALSE), 1)</f>
        <v>7.2511157030299373E-6</v>
      </c>
      <c r="E2" s="7">
        <f>$B2 * IFERROR(VLOOKUP("electricity|NOx|Premature mortality", US_national_yearly!$D:$AM, 13, FALSE) / VLOOKUP("electricity|NOx|Premature mortality", US_national_yearly!$D:$AM, 10, FALSE), 1)</f>
        <v>7.3576071136490512E-6</v>
      </c>
      <c r="F2" s="7">
        <f>$B2 * IFERROR(VLOOKUP("electricity|NOx|Premature mortality", US_national_yearly!$D:$AM, 14, FALSE) / VLOOKUP("electricity|NOx|Premature mortality", US_national_yearly!$D:$AM, 10, FALSE), 1)</f>
        <v>7.4640985242681643E-6</v>
      </c>
      <c r="G2" s="7">
        <f>$B2 * IFERROR(VLOOKUP("electricity|NOx|Premature mortality", US_national_yearly!$D:$AM, 15, FALSE) / VLOOKUP("electricity|NOx|Premature mortality", US_national_yearly!$D:$AM, 10, FALSE), 1)</f>
        <v>7.654331403508475E-6</v>
      </c>
      <c r="H2" s="7">
        <f>$B2 * IFERROR(VLOOKUP("electricity|NOx|Premature mortality", US_national_yearly!$D:$AM, 16, FALSE) / VLOOKUP("electricity|NOx|Premature mortality", US_national_yearly!$D:$AM, 10, FALSE), 1)</f>
        <v>7.8445642827487823E-6</v>
      </c>
      <c r="I2" s="7">
        <f>$B2 * IFERROR(VLOOKUP("electricity|NOx|Premature mortality", US_national_yearly!$D:$AM, 17, FALSE) / VLOOKUP("electricity|NOx|Premature mortality", US_national_yearly!$D:$AM, 10, FALSE), 1)</f>
        <v>7.9709818447818963E-6</v>
      </c>
      <c r="J2" s="7">
        <f>$B2 * IFERROR(VLOOKUP("electricity|NOx|Premature mortality", US_national_yearly!$D:$AM, 18, FALSE) / VLOOKUP("electricity|NOx|Premature mortality", US_national_yearly!$D:$AM, 10, FALSE), 1)</f>
        <v>8.0973994068150121E-6</v>
      </c>
      <c r="K2" s="7">
        <f>$B2 * IFERROR(VLOOKUP("electricity|NOx|Premature mortality", US_national_yearly!$D:$AM, 19, FALSE) / VLOOKUP("electricity|NOx|Premature mortality", US_national_yearly!$D:$AM, 10, FALSE), 1)</f>
        <v>8.2238169688481278E-6</v>
      </c>
      <c r="L2" s="7">
        <f>$B2 * IFERROR(VLOOKUP("electricity|NOx|Premature mortality", US_national_yearly!$D:$AM, 20, FALSE) / VLOOKUP("electricity|NOx|Premature mortality", US_national_yearly!$D:$AM, 10, FALSE), 1)</f>
        <v>8.3502345308812419E-6</v>
      </c>
      <c r="M2" s="7">
        <f>$B2 * IFERROR(VLOOKUP("electricity|NOx|Premature mortality", US_national_yearly!$D:$AM, 21, FALSE) / VLOOKUP("electricity|NOx|Premature mortality", US_national_yearly!$D:$AM, 10, FALSE), 1)</f>
        <v>8.4766520929143559E-6</v>
      </c>
      <c r="N2" s="7">
        <f>$B2 * IFERROR(VLOOKUP("electricity|NOx|Premature mortality", US_national_yearly!$D:$AM, 22, FALSE) / VLOOKUP("electricity|NOx|Premature mortality", US_national_yearly!$D:$AM, 10, FALSE), 1)</f>
        <v>8.5741978565107446E-6</v>
      </c>
      <c r="O2" s="7">
        <f>$B2 * IFERROR(VLOOKUP("electricity|NOx|Premature mortality", US_national_yearly!$D:$AM, 23, FALSE) / VLOOKUP("electricity|NOx|Premature mortality", US_national_yearly!$D:$AM, 10, FALSE), 1)</f>
        <v>8.671743620107135E-6</v>
      </c>
      <c r="P2" s="7">
        <f>$B2 * IFERROR(VLOOKUP("electricity|NOx|Premature mortality", US_national_yearly!$D:$AM, 24, FALSE) / VLOOKUP("electricity|NOx|Premature mortality", US_national_yearly!$D:$AM, 10, FALSE), 1)</f>
        <v>8.7692893837035237E-6</v>
      </c>
      <c r="Q2" s="7">
        <f>$B2 * IFERROR(VLOOKUP("electricity|NOx|Premature mortality", US_national_yearly!$D:$AM, 25, FALSE) / VLOOKUP("electricity|NOx|Premature mortality", US_national_yearly!$D:$AM, 10, FALSE), 1)</f>
        <v>8.8668351472999141E-6</v>
      </c>
      <c r="R2" s="7">
        <f>$B2 * IFERROR(VLOOKUP("electricity|NOx|Premature mortality", US_national_yearly!$D:$AM, 26, FALSE) / VLOOKUP("electricity|NOx|Premature mortality", US_national_yearly!$D:$AM, 10, FALSE), 1)</f>
        <v>8.9643809108963028E-6</v>
      </c>
      <c r="S2" s="7">
        <f>$B2 * IFERROR(VLOOKUP("electricity|NOx|Premature mortality", US_national_yearly!$D:$AM, 27, FALSE) / VLOOKUP("electricity|NOx|Premature mortality", US_national_yearly!$D:$AM, 10, FALSE), 1)</f>
        <v>9.0147868912564821E-6</v>
      </c>
      <c r="T2" s="7">
        <f>$B2 * IFERROR(VLOOKUP("electricity|NOx|Premature mortality", US_national_yearly!$D:$AM, 28, FALSE) / VLOOKUP("electricity|NOx|Premature mortality", US_national_yearly!$D:$AM, 10, FALSE), 1)</f>
        <v>9.0651928716166613E-6</v>
      </c>
      <c r="U2" s="7">
        <f>$B2 * IFERROR(VLOOKUP("electricity|NOx|Premature mortality", US_national_yearly!$D:$AM, 29, FALSE) / VLOOKUP("electricity|NOx|Premature mortality", US_national_yearly!$D:$AM, 10, FALSE), 1)</f>
        <v>9.1155988519768456E-6</v>
      </c>
      <c r="V2" s="7">
        <f>$B2 * IFERROR(VLOOKUP("electricity|NOx|Premature mortality", US_national_yearly!$D:$AM, 30, FALSE) / VLOOKUP("electricity|NOx|Premature mortality", US_national_yearly!$D:$AM, 10, FALSE), 1)</f>
        <v>9.1660048323370248E-6</v>
      </c>
      <c r="W2" s="7">
        <f>$B2 * IFERROR(VLOOKUP("electricity|NOx|Premature mortality", US_national_yearly!$D:$AM, 31, FALSE) / VLOOKUP("electricity|NOx|Premature mortality", US_national_yearly!$D:$AM, 10, FALSE), 1)</f>
        <v>9.2164108126972041E-6</v>
      </c>
      <c r="X2" s="7">
        <f>$B2 * IFERROR(VLOOKUP("electricity|NOx|Premature mortality", US_national_yearly!$D:$AM, 32, FALSE) / VLOOKUP("electricity|NOx|Premature mortality", US_national_yearly!$D:$AM, 10, FALSE), 1)</f>
        <v>9.227814211379857E-6</v>
      </c>
      <c r="Y2" s="7">
        <f>$B2 * IFERROR(VLOOKUP("electricity|NOx|Premature mortality", US_national_yearly!$D:$AM, 33, FALSE) / VLOOKUP("electricity|NOx|Premature mortality", US_national_yearly!$D:$AM, 10, FALSE), 1)</f>
        <v>9.2392176100625099E-6</v>
      </c>
      <c r="Z2" s="7">
        <f>$B2 * IFERROR(VLOOKUP("electricity|NOx|Premature mortality", US_national_yearly!$D:$AM, 34, FALSE) / VLOOKUP("electricity|NOx|Premature mortality", US_national_yearly!$D:$AM, 10, FALSE), 1)</f>
        <v>9.2506210087451628E-6</v>
      </c>
      <c r="AA2" s="7">
        <f>$B2 * IFERROR(VLOOKUP("electricity|NOx|Premature mortality", US_national_yearly!$D:$AM, 35, FALSE) / VLOOKUP("electricity|NOx|Premature mortality", US_national_yearly!$D:$AM, 10, FALSE), 1)</f>
        <v>9.262024407427814E-6</v>
      </c>
      <c r="AB2" s="7">
        <f>$B2 * IFERROR(VLOOKUP("electricity|NOx|Premature mortality", US_national_yearly!$D:$AM, 36, FALSE) / VLOOKUP("electricity|NOx|Premature mortality", US_national_yearly!$D:$AM, 10, FALSE), 1)</f>
        <v>9.2734278061104669E-6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2.212806783526662E-8</v>
      </c>
      <c r="C3" s="7">
        <f>$B3 * IFERROR(VLOOKUP("electricity|NOx|Infant mortality", US_national_yearly!$D:$AM, 11, FALSE) / VLOOKUP("electricity|NOx|Infant mortality", US_national_yearly!$D:$AM, 10, FALSE), 1)</f>
        <v>2.1921047117762855E-8</v>
      </c>
      <c r="D3" s="7">
        <f>$B3 * IFERROR(VLOOKUP("electricity|NOx|Infant mortality", US_national_yearly!$D:$AM, 12, FALSE) / VLOOKUP("electricity|NOx|Infant mortality", US_national_yearly!$D:$AM, 10, FALSE), 1)</f>
        <v>2.1714026400259086E-8</v>
      </c>
      <c r="E3" s="7">
        <f>$B3 * IFERROR(VLOOKUP("electricity|NOx|Infant mortality", US_national_yearly!$D:$AM, 13, FALSE) / VLOOKUP("electricity|NOx|Infant mortality", US_national_yearly!$D:$AM, 10, FALSE), 1)</f>
        <v>2.1507005682755321E-8</v>
      </c>
      <c r="F3" s="7">
        <f>$B3 * IFERROR(VLOOKUP("electricity|NOx|Infant mortality", US_national_yearly!$D:$AM, 14, FALSE) / VLOOKUP("electricity|NOx|Infant mortality", US_national_yearly!$D:$AM, 10, FALSE), 1)</f>
        <v>2.1299984965251549E-8</v>
      </c>
      <c r="G3" s="7">
        <f>$B3 * IFERROR(VLOOKUP("electricity|NOx|Infant mortality", US_national_yearly!$D:$AM, 15, FALSE) / VLOOKUP("electricity|NOx|Infant mortality", US_national_yearly!$D:$AM, 10, FALSE), 1)</f>
        <v>1.4112295317725912E-8</v>
      </c>
      <c r="H3" s="7">
        <f>$B3 * IFERROR(VLOOKUP("electricity|NOx|Infant mortality", US_national_yearly!$D:$AM, 16, FALSE) / VLOOKUP("electricity|NOx|Infant mortality", US_national_yearly!$D:$AM, 10, FALSE), 1)</f>
        <v>6.924605670200275E-9</v>
      </c>
      <c r="I3" s="7">
        <f>$B3 * IFERROR(VLOOKUP("electricity|NOx|Infant mortality", US_national_yearly!$D:$AM, 17, FALSE) / VLOOKUP("electricity|NOx|Infant mortality", US_national_yearly!$D:$AM, 10, FALSE), 1)</f>
        <v>6.8742461537591032E-9</v>
      </c>
      <c r="J3" s="7">
        <f>$B3 * IFERROR(VLOOKUP("electricity|NOx|Infant mortality", US_national_yearly!$D:$AM, 18, FALSE) / VLOOKUP("electricity|NOx|Infant mortality", US_national_yearly!$D:$AM, 10, FALSE), 1)</f>
        <v>6.8238866373179322E-9</v>
      </c>
      <c r="K3" s="7">
        <f>$B3 * IFERROR(VLOOKUP("electricity|NOx|Infant mortality", US_national_yearly!$D:$AM, 19, FALSE) / VLOOKUP("electricity|NOx|Infant mortality", US_national_yearly!$D:$AM, 10, FALSE), 1)</f>
        <v>6.7735271208767613E-9</v>
      </c>
      <c r="L3" s="7">
        <f>$B3 * IFERROR(VLOOKUP("electricity|NOx|Infant mortality", US_national_yearly!$D:$AM, 20, FALSE) / VLOOKUP("electricity|NOx|Infant mortality", US_national_yearly!$D:$AM, 10, FALSE), 1)</f>
        <v>6.7231676044355895E-9</v>
      </c>
      <c r="M3" s="7">
        <f>$B3 * IFERROR(VLOOKUP("electricity|NOx|Infant mortality", US_national_yearly!$D:$AM, 21, FALSE) / VLOOKUP("electricity|NOx|Infant mortality", US_national_yearly!$D:$AM, 10, FALSE), 1)</f>
        <v>6.6728080879944177E-9</v>
      </c>
      <c r="N3" s="7">
        <f>$B3 * IFERROR(VLOOKUP("electricity|NOx|Infant mortality", US_national_yearly!$D:$AM, 22, FALSE) / VLOOKUP("electricity|NOx|Infant mortality", US_national_yearly!$D:$AM, 10, FALSE), 1)</f>
        <v>6.6389913109511389E-9</v>
      </c>
      <c r="O3" s="7">
        <f>$B3 * IFERROR(VLOOKUP("electricity|NOx|Infant mortality", US_national_yearly!$D:$AM, 23, FALSE) / VLOOKUP("electricity|NOx|Infant mortality", US_national_yearly!$D:$AM, 10, FALSE), 1)</f>
        <v>6.6051745339078593E-9</v>
      </c>
      <c r="P3" s="7">
        <f>$B3 * IFERROR(VLOOKUP("electricity|NOx|Infant mortality", US_national_yearly!$D:$AM, 24, FALSE) / VLOOKUP("electricity|NOx|Infant mortality", US_national_yearly!$D:$AM, 10, FALSE), 1)</f>
        <v>6.5713577568645796E-9</v>
      </c>
      <c r="Q3" s="7">
        <f>$B3 * IFERROR(VLOOKUP("electricity|NOx|Infant mortality", US_national_yearly!$D:$AM, 25, FALSE) / VLOOKUP("electricity|NOx|Infant mortality", US_national_yearly!$D:$AM, 10, FALSE), 1)</f>
        <v>6.5375409798213E-9</v>
      </c>
      <c r="R3" s="7">
        <f>$B3 * IFERROR(VLOOKUP("electricity|NOx|Infant mortality", US_national_yearly!$D:$AM, 26, FALSE) / VLOOKUP("electricity|NOx|Infant mortality", US_national_yearly!$D:$AM, 10, FALSE), 1)</f>
        <v>6.5037242027780212E-9</v>
      </c>
      <c r="S3" s="7">
        <f>$B3 * IFERROR(VLOOKUP("electricity|NOx|Infant mortality", US_national_yearly!$D:$AM, 27, FALSE) / VLOOKUP("electricity|NOx|Infant mortality", US_national_yearly!$D:$AM, 10, FALSE), 1)</f>
        <v>6.4635777994228639E-9</v>
      </c>
      <c r="T3" s="7">
        <f>$B3 * IFERROR(VLOOKUP("electricity|NOx|Infant mortality", US_national_yearly!$D:$AM, 28, FALSE) / VLOOKUP("electricity|NOx|Infant mortality", US_national_yearly!$D:$AM, 10, FALSE), 1)</f>
        <v>6.4234313960677067E-9</v>
      </c>
      <c r="U3" s="7">
        <f>$B3 * IFERROR(VLOOKUP("electricity|NOx|Infant mortality", US_national_yearly!$D:$AM, 29, FALSE) / VLOOKUP("electricity|NOx|Infant mortality", US_national_yearly!$D:$AM, 10, FALSE), 1)</f>
        <v>6.3832849927125502E-9</v>
      </c>
      <c r="V3" s="7">
        <f>$B3 * IFERROR(VLOOKUP("electricity|NOx|Infant mortality", US_national_yearly!$D:$AM, 30, FALSE) / VLOOKUP("electricity|NOx|Infant mortality", US_national_yearly!$D:$AM, 10, FALSE), 1)</f>
        <v>6.3431385893573946E-9</v>
      </c>
      <c r="W3" s="7">
        <f>$B3 * IFERROR(VLOOKUP("electricity|NOx|Infant mortality", US_national_yearly!$D:$AM, 31, FALSE) / VLOOKUP("electricity|NOx|Infant mortality", US_national_yearly!$D:$AM, 10, FALSE), 1)</f>
        <v>6.3029921860022365E-9</v>
      </c>
      <c r="X3" s="7">
        <f>$B3 * IFERROR(VLOOKUP("electricity|NOx|Infant mortality", US_national_yearly!$D:$AM, 32, FALSE) / VLOOKUP("electricity|NOx|Infant mortality", US_national_yearly!$D:$AM, 10, FALSE), 1)</f>
        <v>6.2616544633346444E-9</v>
      </c>
      <c r="Y3" s="7">
        <f>$B3 * IFERROR(VLOOKUP("electricity|NOx|Infant mortality", US_national_yearly!$D:$AM, 33, FALSE) / VLOOKUP("electricity|NOx|Infant mortality", US_national_yearly!$D:$AM, 10, FALSE), 1)</f>
        <v>6.2203167406670515E-9</v>
      </c>
      <c r="Z3" s="7">
        <f>$B3 * IFERROR(VLOOKUP("electricity|NOx|Infant mortality", US_national_yearly!$D:$AM, 34, FALSE) / VLOOKUP("electricity|NOx|Infant mortality", US_national_yearly!$D:$AM, 10, FALSE), 1)</f>
        <v>6.1789790179994594E-9</v>
      </c>
      <c r="AA3" s="7">
        <f>$B3 * IFERROR(VLOOKUP("electricity|NOx|Infant mortality", US_national_yearly!$D:$AM, 35, FALSE) / VLOOKUP("electricity|NOx|Infant mortality", US_national_yearly!$D:$AM, 10, FALSE), 1)</f>
        <v>6.1376412953318665E-9</v>
      </c>
      <c r="AB3" s="7">
        <f>$B3 * IFERROR(VLOOKUP("electricity|NOx|Infant mortality", US_national_yearly!$D:$AM, 36, FALSE) / VLOOKUP("electricity|NOx|Infant mortality", US_national_yearly!$D:$AM, 10, FALSE), 1)</f>
        <v>6.0963035726642728E-9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2.0273509056813217E-5</v>
      </c>
      <c r="C6" s="7">
        <f>$B6 * IFERROR(VLOOKUP("electricity|NOx|Asthma symptoms cough", US_national_yearly!$D:$AM, 11, FALSE) / VLOOKUP("electricity|NOx|Asthma symptoms cough", US_national_yearly!$D:$AM, 10, FALSE), 1)</f>
        <v>2.0551838607986618E-5</v>
      </c>
      <c r="D6" s="7">
        <f>$B6 * IFERROR(VLOOKUP("electricity|NOx|Asthma symptoms cough", US_national_yearly!$D:$AM, 12, FALSE) / VLOOKUP("electricity|NOx|Asthma symptoms cough", US_national_yearly!$D:$AM, 10, FALSE), 1)</f>
        <v>2.0830168159160023E-5</v>
      </c>
      <c r="E6" s="7">
        <f>$B6 * IFERROR(VLOOKUP("electricity|NOx|Asthma symptoms cough", US_national_yearly!$D:$AM, 13, FALSE) / VLOOKUP("electricity|NOx|Asthma symptoms cough", US_national_yearly!$D:$AM, 10, FALSE), 1)</f>
        <v>2.1108497710333429E-5</v>
      </c>
      <c r="F6" s="7">
        <f>$B6 * IFERROR(VLOOKUP("electricity|NOx|Asthma symptoms cough", US_national_yearly!$D:$AM, 14, FALSE) / VLOOKUP("electricity|NOx|Asthma symptoms cough", US_national_yearly!$D:$AM, 10, FALSE), 1)</f>
        <v>2.138682726150683E-5</v>
      </c>
      <c r="G6" s="7">
        <f>$B6 * IFERROR(VLOOKUP("electricity|NOx|Asthma symptoms cough", US_national_yearly!$D:$AM, 15, FALSE) / VLOOKUP("electricity|NOx|Asthma symptoms cough", US_national_yearly!$D:$AM, 10, FALSE), 1)</f>
        <v>2.1613123944267225E-5</v>
      </c>
      <c r="H6" s="7">
        <f>$B6 * IFERROR(VLOOKUP("electricity|NOx|Asthma symptoms cough", US_national_yearly!$D:$AM, 16, FALSE) / VLOOKUP("electricity|NOx|Asthma symptoms cough", US_national_yearly!$D:$AM, 10, FALSE), 1)</f>
        <v>2.1839420627027619E-5</v>
      </c>
      <c r="I6" s="7">
        <f>$B6 * IFERROR(VLOOKUP("electricity|NOx|Asthma symptoms cough", US_national_yearly!$D:$AM, 17, FALSE) / VLOOKUP("electricity|NOx|Asthma symptoms cough", US_national_yearly!$D:$AM, 10, FALSE), 1)</f>
        <v>2.1923543712899363E-5</v>
      </c>
      <c r="J6" s="7">
        <f>$B6 * IFERROR(VLOOKUP("electricity|NOx|Asthma symptoms cough", US_national_yearly!$D:$AM, 18, FALSE) / VLOOKUP("electricity|NOx|Asthma symptoms cough", US_national_yearly!$D:$AM, 10, FALSE), 1)</f>
        <v>2.200766679877111E-5</v>
      </c>
      <c r="K6" s="7">
        <f>$B6 * IFERROR(VLOOKUP("electricity|NOx|Asthma symptoms cough", US_national_yearly!$D:$AM, 19, FALSE) / VLOOKUP("electricity|NOx|Asthma symptoms cough", US_national_yearly!$D:$AM, 10, FALSE), 1)</f>
        <v>2.2091789884642861E-5</v>
      </c>
      <c r="L6" s="7">
        <f>$B6 * IFERROR(VLOOKUP("electricity|NOx|Asthma symptoms cough", US_national_yearly!$D:$AM, 20, FALSE) / VLOOKUP("electricity|NOx|Asthma symptoms cough", US_national_yearly!$D:$AM, 10, FALSE), 1)</f>
        <v>2.2175912970514605E-5</v>
      </c>
      <c r="M6" s="7">
        <f>$B6 * IFERROR(VLOOKUP("electricity|NOx|Asthma symptoms cough", US_national_yearly!$D:$AM, 21, FALSE) / VLOOKUP("electricity|NOx|Asthma symptoms cough", US_national_yearly!$D:$AM, 10, FALSE), 1)</f>
        <v>2.2260036056386355E-5</v>
      </c>
      <c r="N6" s="7">
        <f>$B6 * IFERROR(VLOOKUP("electricity|NOx|Asthma symptoms cough", US_national_yearly!$D:$AM, 22, FALSE) / VLOOKUP("electricity|NOx|Asthma symptoms cough", US_national_yearly!$D:$AM, 10, FALSE), 1)</f>
        <v>2.2353243734826773E-5</v>
      </c>
      <c r="O6" s="7">
        <f>$B6 * IFERROR(VLOOKUP("electricity|NOx|Asthma symptoms cough", US_national_yearly!$D:$AM, 23, FALSE) / VLOOKUP("electricity|NOx|Asthma symptoms cough", US_national_yearly!$D:$AM, 10, FALSE), 1)</f>
        <v>2.2446451413267194E-5</v>
      </c>
      <c r="P6" s="7">
        <f>$B6 * IFERROR(VLOOKUP("electricity|NOx|Asthma symptoms cough", US_national_yearly!$D:$AM, 24, FALSE) / VLOOKUP("electricity|NOx|Asthma symptoms cough", US_national_yearly!$D:$AM, 10, FALSE), 1)</f>
        <v>2.2539659091707612E-5</v>
      </c>
      <c r="Q6" s="7">
        <f>$B6 * IFERROR(VLOOKUP("electricity|NOx|Asthma symptoms cough", US_national_yearly!$D:$AM, 25, FALSE) / VLOOKUP("electricity|NOx|Asthma symptoms cough", US_national_yearly!$D:$AM, 10, FALSE), 1)</f>
        <v>2.2632866770148033E-5</v>
      </c>
      <c r="R6" s="7">
        <f>$B6 * IFERROR(VLOOKUP("electricity|NOx|Asthma symptoms cough", US_national_yearly!$D:$AM, 26, FALSE) / VLOOKUP("electricity|NOx|Asthma symptoms cough", US_national_yearly!$D:$AM, 10, FALSE), 1)</f>
        <v>2.272607444858845E-5</v>
      </c>
      <c r="S6" s="7">
        <f>$B6 * IFERROR(VLOOKUP("electricity|NOx|Asthma symptoms cough", US_national_yearly!$D:$AM, 27, FALSE) / VLOOKUP("electricity|NOx|Asthma symptoms cough", US_national_yearly!$D:$AM, 10, FALSE), 1)</f>
        <v>2.2842359610742205E-5</v>
      </c>
      <c r="T6" s="7">
        <f>$B6 * IFERROR(VLOOKUP("electricity|NOx|Asthma symptoms cough", US_national_yearly!$D:$AM, 28, FALSE) / VLOOKUP("electricity|NOx|Asthma symptoms cough", US_national_yearly!$D:$AM, 10, FALSE), 1)</f>
        <v>2.2958644772895956E-5</v>
      </c>
      <c r="U6" s="7">
        <f>$B6 * IFERROR(VLOOKUP("electricity|NOx|Asthma symptoms cough", US_national_yearly!$D:$AM, 29, FALSE) / VLOOKUP("electricity|NOx|Asthma symptoms cough", US_national_yearly!$D:$AM, 10, FALSE), 1)</f>
        <v>2.3074929935049714E-5</v>
      </c>
      <c r="V6" s="7">
        <f>$B6 * IFERROR(VLOOKUP("electricity|NOx|Asthma symptoms cough", US_national_yearly!$D:$AM, 30, FALSE) / VLOOKUP("electricity|NOx|Asthma symptoms cough", US_national_yearly!$D:$AM, 10, FALSE), 1)</f>
        <v>2.3191215097203465E-5</v>
      </c>
      <c r="W6" s="7">
        <f>$B6 * IFERROR(VLOOKUP("electricity|NOx|Asthma symptoms cough", US_national_yearly!$D:$AM, 31, FALSE) / VLOOKUP("electricity|NOx|Asthma symptoms cough", US_national_yearly!$D:$AM, 10, FALSE), 1)</f>
        <v>2.3307500259357223E-5</v>
      </c>
      <c r="X6" s="7">
        <f>$B6 * IFERROR(VLOOKUP("electricity|NOx|Asthma symptoms cough", US_national_yearly!$D:$AM, 32, FALSE) / VLOOKUP("electricity|NOx|Asthma symptoms cough", US_national_yearly!$D:$AM, 10, FALSE), 1)</f>
        <v>2.341463455547325E-5</v>
      </c>
      <c r="Y6" s="7">
        <f>$B6 * IFERROR(VLOOKUP("electricity|NOx|Asthma symptoms cough", US_national_yearly!$D:$AM, 33, FALSE) / VLOOKUP("electricity|NOx|Asthma symptoms cough", US_national_yearly!$D:$AM, 10, FALSE), 1)</f>
        <v>2.3521768851589281E-5</v>
      </c>
      <c r="Z6" s="7">
        <f>$B6 * IFERROR(VLOOKUP("electricity|NOx|Asthma symptoms cough", US_national_yearly!$D:$AM, 34, FALSE) / VLOOKUP("electricity|NOx|Asthma symptoms cough", US_national_yearly!$D:$AM, 10, FALSE), 1)</f>
        <v>2.3628903147705312E-5</v>
      </c>
      <c r="AA6" s="7">
        <f>$B6 * IFERROR(VLOOKUP("electricity|NOx|Asthma symptoms cough", US_national_yearly!$D:$AM, 35, FALSE) / VLOOKUP("electricity|NOx|Asthma symptoms cough", US_national_yearly!$D:$AM, 10, FALSE), 1)</f>
        <v>2.373603744382134E-5</v>
      </c>
      <c r="AB6" s="7">
        <f>$B6 * IFERROR(VLOOKUP("electricity|NOx|Asthma symptoms cough", US_national_yearly!$D:$AM, 36, FALSE) / VLOOKUP("electricity|NOx|Asthma symptoms cough", US_national_yearly!$D:$AM, 10, FALSE), 1)</f>
        <v>2.3843171739937371E-5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2.7301246129759154E-5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2.7676057591667476E-5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2.8050869053575804E-5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2.8425680515484126E-5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2.8800491977392451E-5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2.9105233568879305E-5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2.9409975160366156E-5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2.9523259202327525E-5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2.963654324428888E-5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2.9749827286250239E-5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2.9863111328211595E-5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2.9976395370172957E-5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3.0101913145298181E-5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3.0227430920423409E-5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3.035294869554863E-5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3.0478466470673857E-5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3.0603984245799078E-5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3.0760579229338305E-5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3.0917174212877525E-5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3.1073769196416745E-5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3.1230364179955965E-5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3.1386959163495191E-5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3.1531231167041842E-5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3.1675503170588499E-5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3.1819775174135149E-5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3.1964047177681799E-5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3.2108319181228456E-5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4.171155150461126E-5</v>
      </c>
      <c r="C8" s="7">
        <f>$B8 * IFERROR(VLOOKUP("electricity|NOx|Asthma symptoms wheeze", US_national_yearly!$D:$AM, 11, FALSE) / VLOOKUP("electricity|NOx|Asthma symptoms wheeze", US_national_yearly!$D:$AM, 10, FALSE), 1)</f>
        <v>4.2284198172411969E-5</v>
      </c>
      <c r="D8" s="7">
        <f>$B8 * IFERROR(VLOOKUP("electricity|NOx|Asthma symptoms wheeze", US_national_yearly!$D:$AM, 12, FALSE) / VLOOKUP("electricity|NOx|Asthma symptoms wheeze", US_national_yearly!$D:$AM, 10, FALSE), 1)</f>
        <v>4.2856844840212678E-5</v>
      </c>
      <c r="E8" s="7">
        <f>$B8 * IFERROR(VLOOKUP("electricity|NOx|Asthma symptoms wheeze", US_national_yearly!$D:$AM, 13, FALSE) / VLOOKUP("electricity|NOx|Asthma symptoms wheeze", US_national_yearly!$D:$AM, 10, FALSE), 1)</f>
        <v>4.3429491508013381E-5</v>
      </c>
      <c r="F8" s="7">
        <f>$B8 * IFERROR(VLOOKUP("electricity|NOx|Asthma symptoms wheeze", US_national_yearly!$D:$AM, 14, FALSE) / VLOOKUP("electricity|NOx|Asthma symptoms wheeze", US_national_yearly!$D:$AM, 10, FALSE), 1)</f>
        <v>4.4002138175814103E-5</v>
      </c>
      <c r="G8" s="7">
        <f>$B8 * IFERROR(VLOOKUP("electricity|NOx|Asthma symptoms wheeze", US_national_yearly!$D:$AM, 15, FALSE) / VLOOKUP("electricity|NOx|Asthma symptoms wheeze", US_national_yearly!$D:$AM, 10, FALSE), 1)</f>
        <v>4.4467730279642083E-5</v>
      </c>
      <c r="H8" s="7">
        <f>$B8 * IFERROR(VLOOKUP("electricity|NOx|Asthma symptoms wheeze", US_national_yearly!$D:$AM, 16, FALSE) / VLOOKUP("electricity|NOx|Asthma symptoms wheeze", US_national_yearly!$D:$AM, 10, FALSE), 1)</f>
        <v>4.4933322383470076E-5</v>
      </c>
      <c r="I8" s="7">
        <f>$B8 * IFERROR(VLOOKUP("electricity|NOx|Asthma symptoms wheeze", US_national_yearly!$D:$AM, 17, FALSE) / VLOOKUP("electricity|NOx|Asthma symptoms wheeze", US_national_yearly!$D:$AM, 10, FALSE), 1)</f>
        <v>4.5106400680509305E-5</v>
      </c>
      <c r="J8" s="7">
        <f>$B8 * IFERROR(VLOOKUP("electricity|NOx|Asthma symptoms wheeze", US_national_yearly!$D:$AM, 18, FALSE) / VLOOKUP("electricity|NOx|Asthma symptoms wheeze", US_national_yearly!$D:$AM, 10, FALSE), 1)</f>
        <v>4.5279478977548526E-5</v>
      </c>
      <c r="K8" s="7">
        <f>$B8 * IFERROR(VLOOKUP("electricity|NOx|Asthma symptoms wheeze", US_national_yearly!$D:$AM, 19, FALSE) / VLOOKUP("electricity|NOx|Asthma symptoms wheeze", US_national_yearly!$D:$AM, 10, FALSE), 1)</f>
        <v>4.5452557274587775E-5</v>
      </c>
      <c r="L8" s="7">
        <f>$B8 * IFERROR(VLOOKUP("electricity|NOx|Asthma symptoms wheeze", US_national_yearly!$D:$AM, 20, FALSE) / VLOOKUP("electricity|NOx|Asthma symptoms wheeze", US_national_yearly!$D:$AM, 10, FALSE), 1)</f>
        <v>4.5625635571626996E-5</v>
      </c>
      <c r="M8" s="7">
        <f>$B8 * IFERROR(VLOOKUP("electricity|NOx|Asthma symptoms wheeze", US_national_yearly!$D:$AM, 21, FALSE) / VLOOKUP("electricity|NOx|Asthma symptoms wheeze", US_national_yearly!$D:$AM, 10, FALSE), 1)</f>
        <v>4.5798713868666224E-5</v>
      </c>
      <c r="N8" s="7">
        <f>$B8 * IFERROR(VLOOKUP("electricity|NOx|Asthma symptoms wheeze", US_national_yearly!$D:$AM, 22, FALSE) / VLOOKUP("electricity|NOx|Asthma symptoms wheeze", US_national_yearly!$D:$AM, 10, FALSE), 1)</f>
        <v>4.5990483180147069E-5</v>
      </c>
      <c r="O8" s="7">
        <f>$B8 * IFERROR(VLOOKUP("electricity|NOx|Asthma symptoms wheeze", US_national_yearly!$D:$AM, 23, FALSE) / VLOOKUP("electricity|NOx|Asthma symptoms wheeze", US_national_yearly!$D:$AM, 10, FALSE), 1)</f>
        <v>4.618225249162792E-5</v>
      </c>
      <c r="P8" s="7">
        <f>$B8 * IFERROR(VLOOKUP("electricity|NOx|Asthma symptoms wheeze", US_national_yearly!$D:$AM, 24, FALSE) / VLOOKUP("electricity|NOx|Asthma symptoms wheeze", US_national_yearly!$D:$AM, 10, FALSE), 1)</f>
        <v>4.6374021803108764E-5</v>
      </c>
      <c r="Q8" s="7">
        <f>$B8 * IFERROR(VLOOKUP("electricity|NOx|Asthma symptoms wheeze", US_national_yearly!$D:$AM, 25, FALSE) / VLOOKUP("electricity|NOx|Asthma symptoms wheeze", US_national_yearly!$D:$AM, 10, FALSE), 1)</f>
        <v>4.6565791114589608E-5</v>
      </c>
      <c r="R8" s="7">
        <f>$B8 * IFERROR(VLOOKUP("electricity|NOx|Asthma symptoms wheeze", US_national_yearly!$D:$AM, 26, FALSE) / VLOOKUP("electricity|NOx|Asthma symptoms wheeze", US_national_yearly!$D:$AM, 10, FALSE), 1)</f>
        <v>4.6757560426070446E-5</v>
      </c>
      <c r="S8" s="7">
        <f>$B8 * IFERROR(VLOOKUP("electricity|NOx|Asthma symptoms wheeze", US_national_yearly!$D:$AM, 27, FALSE) / VLOOKUP("electricity|NOx|Asthma symptoms wheeze", US_national_yearly!$D:$AM, 10, FALSE), 1)</f>
        <v>4.6996810301846572E-5</v>
      </c>
      <c r="T8" s="7">
        <f>$B8 * IFERROR(VLOOKUP("electricity|NOx|Asthma symptoms wheeze", US_national_yearly!$D:$AM, 28, FALSE) / VLOOKUP("electricity|NOx|Asthma symptoms wheeze", US_national_yearly!$D:$AM, 10, FALSE), 1)</f>
        <v>4.7236060177622691E-5</v>
      </c>
      <c r="U8" s="7">
        <f>$B8 * IFERROR(VLOOKUP("electricity|NOx|Asthma symptoms wheeze", US_national_yearly!$D:$AM, 29, FALSE) / VLOOKUP("electricity|NOx|Asthma symptoms wheeze", US_national_yearly!$D:$AM, 10, FALSE), 1)</f>
        <v>4.7475310053398804E-5</v>
      </c>
      <c r="V8" s="7">
        <f>$B8 * IFERROR(VLOOKUP("electricity|NOx|Asthma symptoms wheeze", US_national_yearly!$D:$AM, 30, FALSE) / VLOOKUP("electricity|NOx|Asthma symptoms wheeze", US_national_yearly!$D:$AM, 10, FALSE), 1)</f>
        <v>4.7714559929174923E-5</v>
      </c>
      <c r="W8" s="7">
        <f>$B8 * IFERROR(VLOOKUP("electricity|NOx|Asthma symptoms wheeze", US_national_yearly!$D:$AM, 31, FALSE) / VLOOKUP("electricity|NOx|Asthma symptoms wheeze", US_national_yearly!$D:$AM, 10, FALSE), 1)</f>
        <v>4.7953809804951042E-5</v>
      </c>
      <c r="X8" s="7">
        <f>$B8 * IFERROR(VLOOKUP("electricity|NOx|Asthma symptoms wheeze", US_national_yearly!$D:$AM, 32, FALSE) / VLOOKUP("electricity|NOx|Asthma symptoms wheeze", US_national_yearly!$D:$AM, 10, FALSE), 1)</f>
        <v>4.8174232312501758E-5</v>
      </c>
      <c r="Y8" s="7">
        <f>$B8 * IFERROR(VLOOKUP("electricity|NOx|Asthma symptoms wheeze", US_national_yearly!$D:$AM, 33, FALSE) / VLOOKUP("electricity|NOx|Asthma symptoms wheeze", US_national_yearly!$D:$AM, 10, FALSE), 1)</f>
        <v>4.8394654820052481E-5</v>
      </c>
      <c r="Z8" s="7">
        <f>$B8 * IFERROR(VLOOKUP("electricity|NOx|Asthma symptoms wheeze", US_national_yearly!$D:$AM, 34, FALSE) / VLOOKUP("electricity|NOx|Asthma symptoms wheeze", US_national_yearly!$D:$AM, 10, FALSE), 1)</f>
        <v>4.8615077327603184E-5</v>
      </c>
      <c r="AA8" s="7">
        <f>$B8 * IFERROR(VLOOKUP("electricity|NOx|Asthma symptoms wheeze", US_national_yearly!$D:$AM, 35, FALSE) / VLOOKUP("electricity|NOx|Asthma symptoms wheeze", US_national_yearly!$D:$AM, 10, FALSE), 1)</f>
        <v>4.8835499835153901E-5</v>
      </c>
      <c r="AB8" s="7">
        <f>$B8 * IFERROR(VLOOKUP("electricity|NOx|Asthma symptoms wheeze", US_national_yearly!$D:$AM, 36, FALSE) / VLOOKUP("electricity|NOx|Asthma symptoms wheeze", US_national_yearly!$D:$AM, 10, FALSE), 1)</f>
        <v>4.9055922342704617E-5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6.092652245655425E-7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6.2486952458409066E-7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6.4047382460263892E-7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6.5607812462118708E-7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6.7168242463973513E-7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6.8670397091528668E-7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7.0172551719083844E-7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7.1464281118954234E-7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7.2756010518824634E-7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7.4047739918695067E-7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7.5339469318565467E-7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7.6631198718435878E-7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7.7516437096531531E-7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7.8401675474627195E-7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7.9286913852722849E-7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8.0172152230818513E-7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8.1057390608914177E-7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8.1561562107168439E-7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8.2065733605422722E-7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8.2569905103676974E-7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8.3074076601931236E-7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8.3578248100185499E-7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8.3944955017365777E-7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8.4311661934546034E-7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8.4678368851726322E-7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8.504507576890659E-7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8.5411782686086857E-7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3.084510781468764E-6</v>
      </c>
      <c r="C13" s="7">
        <f>$B13 * IFERROR(VLOOKUP("electricity|NOx|Non-fatal heart attacks", US_national_yearly!$D:$AM, 11, FALSE) / VLOOKUP("electricity|NOx|Non-fatal heart attacks", US_national_yearly!$D:$AM, 10, FALSE), 1)</f>
        <v>3.1730277432255965E-6</v>
      </c>
      <c r="D13" s="7">
        <f>$B13 * IFERROR(VLOOKUP("electricity|NOx|Non-fatal heart attacks", US_national_yearly!$D:$AM, 12, FALSE) / VLOOKUP("electricity|NOx|Non-fatal heart attacks", US_national_yearly!$D:$AM, 10, FALSE), 1)</f>
        <v>3.2615447049824286E-6</v>
      </c>
      <c r="E13" s="7">
        <f>$B13 * IFERROR(VLOOKUP("electricity|NOx|Non-fatal heart attacks", US_national_yearly!$D:$AM, 13, FALSE) / VLOOKUP("electricity|NOx|Non-fatal heart attacks", US_national_yearly!$D:$AM, 10, FALSE), 1)</f>
        <v>3.3500616667392611E-6</v>
      </c>
      <c r="F13" s="7">
        <f>$B13 * IFERROR(VLOOKUP("electricity|NOx|Non-fatal heart attacks", US_national_yearly!$D:$AM, 14, FALSE) / VLOOKUP("electricity|NOx|Non-fatal heart attacks", US_national_yearly!$D:$AM, 10, FALSE), 1)</f>
        <v>3.438578628496094E-6</v>
      </c>
      <c r="G13" s="7">
        <f>$B13 * IFERROR(VLOOKUP("electricity|NOx|Non-fatal heart attacks", US_national_yearly!$D:$AM, 15, FALSE) / VLOOKUP("electricity|NOx|Non-fatal heart attacks", US_national_yearly!$D:$AM, 10, FALSE), 1)</f>
        <v>3.5219650027204221E-6</v>
      </c>
      <c r="H13" s="7">
        <f>$B13 * IFERROR(VLOOKUP("electricity|NOx|Non-fatal heart attacks", US_national_yearly!$D:$AM, 16, FALSE) / VLOOKUP("electricity|NOx|Non-fatal heart attacks", US_national_yearly!$D:$AM, 10, FALSE), 1)</f>
        <v>3.6053513769447501E-6</v>
      </c>
      <c r="I13" s="7">
        <f>$B13 * IFERROR(VLOOKUP("electricity|NOx|Non-fatal heart attacks", US_national_yearly!$D:$AM, 17, FALSE) / VLOOKUP("electricity|NOx|Non-fatal heart attacks", US_national_yearly!$D:$AM, 10, FALSE), 1)</f>
        <v>3.6722188129302965E-6</v>
      </c>
      <c r="J13" s="7">
        <f>$B13 * IFERROR(VLOOKUP("electricity|NOx|Non-fatal heart attacks", US_national_yearly!$D:$AM, 18, FALSE) / VLOOKUP("electricity|NOx|Non-fatal heart attacks", US_national_yearly!$D:$AM, 10, FALSE), 1)</f>
        <v>3.7390862489158429E-6</v>
      </c>
      <c r="K13" s="7">
        <f>$B13 * IFERROR(VLOOKUP("electricity|NOx|Non-fatal heart attacks", US_national_yearly!$D:$AM, 19, FALSE) / VLOOKUP("electricity|NOx|Non-fatal heart attacks", US_national_yearly!$D:$AM, 10, FALSE), 1)</f>
        <v>3.805953684901386E-6</v>
      </c>
      <c r="L13" s="7">
        <f>$B13 * IFERROR(VLOOKUP("electricity|NOx|Non-fatal heart attacks", US_national_yearly!$D:$AM, 20, FALSE) / VLOOKUP("electricity|NOx|Non-fatal heart attacks", US_national_yearly!$D:$AM, 10, FALSE), 1)</f>
        <v>3.8728211208869324E-6</v>
      </c>
      <c r="M13" s="7">
        <f>$B13 * IFERROR(VLOOKUP("electricity|NOx|Non-fatal heart attacks", US_national_yearly!$D:$AM, 21, FALSE) / VLOOKUP("electricity|NOx|Non-fatal heart attacks", US_national_yearly!$D:$AM, 10, FALSE), 1)</f>
        <v>3.9396885568724797E-6</v>
      </c>
      <c r="N13" s="7">
        <f>$B13 * IFERROR(VLOOKUP("electricity|NOx|Non-fatal heart attacks", US_national_yearly!$D:$AM, 22, FALSE) / VLOOKUP("electricity|NOx|Non-fatal heart attacks", US_national_yearly!$D:$AM, 10, FALSE), 1)</f>
        <v>3.980927093979482E-6</v>
      </c>
      <c r="O13" s="7">
        <f>$B13 * IFERROR(VLOOKUP("electricity|NOx|Non-fatal heart attacks", US_national_yearly!$D:$AM, 23, FALSE) / VLOOKUP("electricity|NOx|Non-fatal heart attacks", US_national_yearly!$D:$AM, 10, FALSE), 1)</f>
        <v>4.022165631086486E-6</v>
      </c>
      <c r="P13" s="7">
        <f>$B13 * IFERROR(VLOOKUP("electricity|NOx|Non-fatal heart attacks", US_national_yearly!$D:$AM, 24, FALSE) / VLOOKUP("electricity|NOx|Non-fatal heart attacks", US_national_yearly!$D:$AM, 10, FALSE), 1)</f>
        <v>4.0634041681934884E-6</v>
      </c>
      <c r="Q13" s="7">
        <f>$B13 * IFERROR(VLOOKUP("electricity|NOx|Non-fatal heart attacks", US_national_yearly!$D:$AM, 25, FALSE) / VLOOKUP("electricity|NOx|Non-fatal heart attacks", US_national_yearly!$D:$AM, 10, FALSE), 1)</f>
        <v>4.1046427053004916E-6</v>
      </c>
      <c r="R13" s="7">
        <f>$B13 * IFERROR(VLOOKUP("electricity|NOx|Non-fatal heart attacks", US_national_yearly!$D:$AM, 26, FALSE) / VLOOKUP("electricity|NOx|Non-fatal heart attacks", US_national_yearly!$D:$AM, 10, FALSE), 1)</f>
        <v>4.1458812424074948E-6</v>
      </c>
      <c r="S13" s="7">
        <f>$B13 * IFERROR(VLOOKUP("electricity|NOx|Non-fatal heart attacks", US_national_yearly!$D:$AM, 27, FALSE) / VLOOKUP("electricity|NOx|Non-fatal heart attacks", US_national_yearly!$D:$AM, 10, FALSE), 1)</f>
        <v>4.1660302542510846E-6</v>
      </c>
      <c r="T13" s="7">
        <f>$B13 * IFERROR(VLOOKUP("electricity|NOx|Non-fatal heart attacks", US_national_yearly!$D:$AM, 28, FALSE) / VLOOKUP("electricity|NOx|Non-fatal heart attacks", US_national_yearly!$D:$AM, 10, FALSE), 1)</f>
        <v>4.1861792660946744E-6</v>
      </c>
      <c r="U13" s="7">
        <f>$B13 * IFERROR(VLOOKUP("electricity|NOx|Non-fatal heart attacks", US_national_yearly!$D:$AM, 29, FALSE) / VLOOKUP("electricity|NOx|Non-fatal heart attacks", US_national_yearly!$D:$AM, 10, FALSE), 1)</f>
        <v>4.2063282779382659E-6</v>
      </c>
      <c r="V13" s="7">
        <f>$B13 * IFERROR(VLOOKUP("electricity|NOx|Non-fatal heart attacks", US_national_yearly!$D:$AM, 30, FALSE) / VLOOKUP("electricity|NOx|Non-fatal heart attacks", US_national_yearly!$D:$AM, 10, FALSE), 1)</f>
        <v>4.2264772897818557E-6</v>
      </c>
      <c r="W13" s="7">
        <f>$B13 * IFERROR(VLOOKUP("electricity|NOx|Non-fatal heart attacks", US_national_yearly!$D:$AM, 31, FALSE) / VLOOKUP("electricity|NOx|Non-fatal heart attacks", US_national_yearly!$D:$AM, 10, FALSE), 1)</f>
        <v>4.2466263016254463E-6</v>
      </c>
      <c r="X13" s="7">
        <f>$B13 * IFERROR(VLOOKUP("electricity|NOx|Non-fatal heart attacks", US_national_yearly!$D:$AM, 32, FALSE) / VLOOKUP("electricity|NOx|Non-fatal heart attacks", US_national_yearly!$D:$AM, 10, FALSE), 1)</f>
        <v>4.2606897764297268E-6</v>
      </c>
      <c r="Y13" s="7">
        <f>$B13 * IFERROR(VLOOKUP("electricity|NOx|Non-fatal heart attacks", US_national_yearly!$D:$AM, 33, FALSE) / VLOOKUP("electricity|NOx|Non-fatal heart attacks", US_national_yearly!$D:$AM, 10, FALSE), 1)</f>
        <v>4.2747532512340082E-6</v>
      </c>
      <c r="Z13" s="7">
        <f>$B13 * IFERROR(VLOOKUP("electricity|NOx|Non-fatal heart attacks", US_national_yearly!$D:$AM, 34, FALSE) / VLOOKUP("electricity|NOx|Non-fatal heart attacks", US_national_yearly!$D:$AM, 10, FALSE), 1)</f>
        <v>4.2888167260382878E-6</v>
      </c>
      <c r="AA13" s="7">
        <f>$B13 * IFERROR(VLOOKUP("electricity|NOx|Non-fatal heart attacks", US_national_yearly!$D:$AM, 35, FALSE) / VLOOKUP("electricity|NOx|Non-fatal heart attacks", US_national_yearly!$D:$AM, 10, FALSE), 1)</f>
        <v>4.3028802008425675E-6</v>
      </c>
      <c r="AB13" s="7">
        <f>$B13 * IFERROR(VLOOKUP("electricity|NOx|Non-fatal heart attacks", US_national_yearly!$D:$AM, 36, FALSE) / VLOOKUP("electricity|NOx|Non-fatal heart attacks", US_national_yearly!$D:$AM, 10, FALSE), 1)</f>
        <v>4.3169436756468488E-6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2.1183581665669146E-3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2.1216060721593387E-3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2.1248539777517623E-3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2.1281018833441863E-3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2.1313497889366103E-3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2.1370152712952744E-3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2.142680753653938E-3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2.1538898721330632E-3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2.1650989906121876E-3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2.1763081090913129E-3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2.1875172275704373E-3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2.1987263460495625E-3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2.214935673164472E-3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2.231145000279381E-3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2.2473543273942901E-3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2.2635636545091996E-3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2.279772981624109E-3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2.2961048888967277E-3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2.3124367961693463E-3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2.3287687034419654E-3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2.3451006107145845E-3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2.3614325179872032E-3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2.3752444715445407E-3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2.3890564251018774E-3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2.4028683786592167E-3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2.4166803322165542E-3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2.4304922857738913E-3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3.5894959845659413E-4</v>
      </c>
      <c r="C15" s="7">
        <f>$B15 * IFERROR(VLOOKUP("electricity|NOx|Work loss days", US_national_yearly!$D:$AM, 11, FALSE) / VLOOKUP("electricity|NOx|Work loss days", US_national_yearly!$D:$AM, 10, FALSE), 1)</f>
        <v>3.597501843498688E-4</v>
      </c>
      <c r="D15" s="7">
        <f>$B15 * IFERROR(VLOOKUP("electricity|NOx|Work loss days", US_national_yearly!$D:$AM, 12, FALSE) / VLOOKUP("electricity|NOx|Work loss days", US_national_yearly!$D:$AM, 10, FALSE), 1)</f>
        <v>3.6055077024314353E-4</v>
      </c>
      <c r="E15" s="7">
        <f>$B15 * IFERROR(VLOOKUP("electricity|NOx|Work loss days", US_national_yearly!$D:$AM, 13, FALSE) / VLOOKUP("electricity|NOx|Work loss days", US_national_yearly!$D:$AM, 10, FALSE), 1)</f>
        <v>3.613513561364182E-4</v>
      </c>
      <c r="F15" s="7">
        <f>$B15 * IFERROR(VLOOKUP("electricity|NOx|Work loss days", US_national_yearly!$D:$AM, 14, FALSE) / VLOOKUP("electricity|NOx|Work loss days", US_national_yearly!$D:$AM, 10, FALSE), 1)</f>
        <v>3.6215194202969287E-4</v>
      </c>
      <c r="G15" s="7">
        <f>$B15 * IFERROR(VLOOKUP("electricity|NOx|Work loss days", US_national_yearly!$D:$AM, 15, FALSE) / VLOOKUP("electricity|NOx|Work loss days", US_national_yearly!$D:$AM, 10, FALSE), 1)</f>
        <v>3.6328058461143457E-4</v>
      </c>
      <c r="H15" s="7">
        <f>$B15 * IFERROR(VLOOKUP("electricity|NOx|Work loss days", US_national_yearly!$D:$AM, 16, FALSE) / VLOOKUP("electricity|NOx|Work loss days", US_national_yearly!$D:$AM, 10, FALSE), 1)</f>
        <v>3.6440922719317622E-4</v>
      </c>
      <c r="I15" s="7">
        <f>$B15 * IFERROR(VLOOKUP("electricity|NOx|Work loss days", US_national_yearly!$D:$AM, 17, FALSE) / VLOOKUP("electricity|NOx|Work loss days", US_national_yearly!$D:$AM, 10, FALSE), 1)</f>
        <v>3.6624183976460324E-4</v>
      </c>
      <c r="J15" s="7">
        <f>$B15 * IFERROR(VLOOKUP("electricity|NOx|Work loss days", US_national_yearly!$D:$AM, 18, FALSE) / VLOOKUP("electricity|NOx|Work loss days", US_national_yearly!$D:$AM, 10, FALSE), 1)</f>
        <v>3.6807445233603026E-4</v>
      </c>
      <c r="K15" s="7">
        <f>$B15 * IFERROR(VLOOKUP("electricity|NOx|Work loss days", US_national_yearly!$D:$AM, 19, FALSE) / VLOOKUP("electricity|NOx|Work loss days", US_national_yearly!$D:$AM, 10, FALSE), 1)</f>
        <v>3.6990706490745717E-4</v>
      </c>
      <c r="L15" s="7">
        <f>$B15 * IFERROR(VLOOKUP("electricity|NOx|Work loss days", US_national_yearly!$D:$AM, 20, FALSE) / VLOOKUP("electricity|NOx|Work loss days", US_national_yearly!$D:$AM, 10, FALSE), 1)</f>
        <v>3.7173967747888414E-4</v>
      </c>
      <c r="M15" s="7">
        <f>$B15 * IFERROR(VLOOKUP("electricity|NOx|Work loss days", US_national_yearly!$D:$AM, 21, FALSE) / VLOOKUP("electricity|NOx|Work loss days", US_national_yearly!$D:$AM, 10, FALSE), 1)</f>
        <v>3.735722900503111E-4</v>
      </c>
      <c r="N15" s="7">
        <f>$B15 * IFERROR(VLOOKUP("electricity|NOx|Work loss days", US_national_yearly!$D:$AM, 22, FALSE) / VLOOKUP("electricity|NOx|Work loss days", US_national_yearly!$D:$AM, 10, FALSE), 1)</f>
        <v>3.7599018238073767E-4</v>
      </c>
      <c r="O15" s="7">
        <f>$B15 * IFERROR(VLOOKUP("electricity|NOx|Work loss days", US_national_yearly!$D:$AM, 23, FALSE) / VLOOKUP("electricity|NOx|Work loss days", US_national_yearly!$D:$AM, 10, FALSE), 1)</f>
        <v>3.7840807471116418E-4</v>
      </c>
      <c r="P15" s="7">
        <f>$B15 * IFERROR(VLOOKUP("electricity|NOx|Work loss days", US_national_yearly!$D:$AM, 24, FALSE) / VLOOKUP("electricity|NOx|Work loss days", US_national_yearly!$D:$AM, 10, FALSE), 1)</f>
        <v>3.8082596704159079E-4</v>
      </c>
      <c r="Q15" s="7">
        <f>$B15 * IFERROR(VLOOKUP("electricity|NOx|Work loss days", US_national_yearly!$D:$AM, 25, FALSE) / VLOOKUP("electricity|NOx|Work loss days", US_national_yearly!$D:$AM, 10, FALSE), 1)</f>
        <v>3.8324385937201741E-4</v>
      </c>
      <c r="R15" s="7">
        <f>$B15 * IFERROR(VLOOKUP("electricity|NOx|Work loss days", US_national_yearly!$D:$AM, 26, FALSE) / VLOOKUP("electricity|NOx|Work loss days", US_national_yearly!$D:$AM, 10, FALSE), 1)</f>
        <v>3.8566175170244387E-4</v>
      </c>
      <c r="S15" s="7">
        <f>$B15 * IFERROR(VLOOKUP("electricity|NOx|Work loss days", US_national_yearly!$D:$AM, 27, FALSE) / VLOOKUP("electricity|NOx|Work loss days", US_national_yearly!$D:$AM, 10, FALSE), 1)</f>
        <v>3.8837130795343542E-4</v>
      </c>
      <c r="T15" s="7">
        <f>$B15 * IFERROR(VLOOKUP("electricity|NOx|Work loss days", US_national_yearly!$D:$AM, 28, FALSE) / VLOOKUP("electricity|NOx|Work loss days", US_national_yearly!$D:$AM, 10, FALSE), 1)</f>
        <v>3.9108086420442685E-4</v>
      </c>
      <c r="U15" s="7">
        <f>$B15 * IFERROR(VLOOKUP("electricity|NOx|Work loss days", US_national_yearly!$D:$AM, 29, FALSE) / VLOOKUP("electricity|NOx|Work loss days", US_national_yearly!$D:$AM, 10, FALSE), 1)</f>
        <v>3.9379042045541835E-4</v>
      </c>
      <c r="V15" s="7">
        <f>$B15 * IFERROR(VLOOKUP("electricity|NOx|Work loss days", US_national_yearly!$D:$AM, 30, FALSE) / VLOOKUP("electricity|NOx|Work loss days", US_national_yearly!$D:$AM, 10, FALSE), 1)</f>
        <v>3.9649997670640984E-4</v>
      </c>
      <c r="W15" s="7">
        <f>$B15 * IFERROR(VLOOKUP("electricity|NOx|Work loss days", US_national_yearly!$D:$AM, 31, FALSE) / VLOOKUP("electricity|NOx|Work loss days", US_national_yearly!$D:$AM, 10, FALSE), 1)</f>
        <v>3.9920953295740139E-4</v>
      </c>
      <c r="X15" s="7">
        <f>$B15 * IFERROR(VLOOKUP("electricity|NOx|Work loss days", US_national_yearly!$D:$AM, 32, FALSE) / VLOOKUP("electricity|NOx|Work loss days", US_national_yearly!$D:$AM, 10, FALSE), 1)</f>
        <v>4.0157146487281861E-4</v>
      </c>
      <c r="Y15" s="7">
        <f>$B15 * IFERROR(VLOOKUP("electricity|NOx|Work loss days", US_national_yearly!$D:$AM, 33, FALSE) / VLOOKUP("electricity|NOx|Work loss days", US_national_yearly!$D:$AM, 10, FALSE), 1)</f>
        <v>4.0393339678823582E-4</v>
      </c>
      <c r="Z15" s="7">
        <f>$B15 * IFERROR(VLOOKUP("electricity|NOx|Work loss days", US_national_yearly!$D:$AM, 34, FALSE) / VLOOKUP("electricity|NOx|Work loss days", US_national_yearly!$D:$AM, 10, FALSE), 1)</f>
        <v>4.0629532870365299E-4</v>
      </c>
      <c r="AA15" s="7">
        <f>$B15 * IFERROR(VLOOKUP("electricity|NOx|Work loss days", US_national_yearly!$D:$AM, 35, FALSE) / VLOOKUP("electricity|NOx|Work loss days", US_national_yearly!$D:$AM, 10, FALSE), 1)</f>
        <v>4.0865726061907031E-4</v>
      </c>
      <c r="AB15" s="7">
        <f>$B15 * IFERROR(VLOOKUP("electricity|NOx|Work loss days", US_national_yearly!$D:$AM, 36, FALSE) / VLOOKUP("electricity|NOx|Work loss days", US_national_yearly!$D:$AM, 10, FALSE), 1)</f>
        <v>4.1101919253448753E-4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6.1471179013591608E-7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6.3281912998908063E-7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6.5092646984224527E-7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6.6903380969540982E-7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6.8714114954857447E-7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7.0448033337316567E-7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7.2181951719775687E-7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7.3661940069464032E-7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7.5141928419152388E-7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7.6621916768840754E-7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7.8101905118529109E-7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7.9581893468217454E-7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8.0531708734583739E-7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8.1481524000950025E-7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8.2431339267316321E-7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8.3381154533682606E-7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8.4330969800048891E-7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8.4798390631407223E-7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8.5265811462765565E-7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8.5733232294123897E-7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8.6200653125482239E-7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8.666807395684057E-7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8.694821701541382E-7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8.7228360073987058E-7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8.7508503132560308E-7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8.7788646191133546E-7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8.8068789249706795E-7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7.5179619635609092E-5</v>
      </c>
      <c r="C2" s="7">
        <f>$B2 * IFERROR(VLOOKUP("electricity|SO2|Premature mortality", US_national_yearly!$D:$AM, 11, FALSE) / VLOOKUP("electricity|SO2|Premature mortality", US_national_yearly!$D:$AM, 10, FALSE), 1)</f>
        <v>7.6143439703765415E-5</v>
      </c>
      <c r="D2" s="7">
        <f>$B2 * IFERROR(VLOOKUP("electricity|SO2|Premature mortality", US_national_yearly!$D:$AM, 12, FALSE) / VLOOKUP("electricity|SO2|Premature mortality", US_national_yearly!$D:$AM, 10, FALSE), 1)</f>
        <v>7.7107259771921725E-5</v>
      </c>
      <c r="E2" s="7">
        <f>$B2 * IFERROR(VLOOKUP("electricity|SO2|Premature mortality", US_national_yearly!$D:$AM, 13, FALSE) / VLOOKUP("electricity|SO2|Premature mortality", US_national_yearly!$D:$AM, 10, FALSE), 1)</f>
        <v>7.8071079840078049E-5</v>
      </c>
      <c r="F2" s="7">
        <f>$B2 * IFERROR(VLOOKUP("electricity|SO2|Premature mortality", US_national_yearly!$D:$AM, 14, FALSE) / VLOOKUP("electricity|SO2|Premature mortality", US_national_yearly!$D:$AM, 10, FALSE), 1)</f>
        <v>7.9034899908234359E-5</v>
      </c>
      <c r="G2" s="7">
        <f>$B2 * IFERROR(VLOOKUP("electricity|SO2|Premature mortality", US_national_yearly!$D:$AM, 15, FALSE) / VLOOKUP("electricity|SO2|Premature mortality", US_national_yearly!$D:$AM, 10, FALSE), 1)</f>
        <v>8.0891603943505932E-5</v>
      </c>
      <c r="H2" s="7">
        <f>$B2 * IFERROR(VLOOKUP("electricity|SO2|Premature mortality", US_national_yearly!$D:$AM, 16, FALSE) / VLOOKUP("electricity|SO2|Premature mortality", US_national_yearly!$D:$AM, 10, FALSE), 1)</f>
        <v>8.2748307978777492E-5</v>
      </c>
      <c r="I2" s="7">
        <f>$B2 * IFERROR(VLOOKUP("electricity|SO2|Premature mortality", US_national_yearly!$D:$AM, 17, FALSE) / VLOOKUP("electricity|SO2|Premature mortality", US_national_yearly!$D:$AM, 10, FALSE), 1)</f>
        <v>8.3998126235859498E-5</v>
      </c>
      <c r="J2" s="7">
        <f>$B2 * IFERROR(VLOOKUP("electricity|SO2|Premature mortality", US_national_yearly!$D:$AM, 18, FALSE) / VLOOKUP("electricity|SO2|Premature mortality", US_national_yearly!$D:$AM, 10, FALSE), 1)</f>
        <v>8.5247944492941504E-5</v>
      </c>
      <c r="K2" s="7">
        <f>$B2 * IFERROR(VLOOKUP("electricity|SO2|Premature mortality", US_national_yearly!$D:$AM, 19, FALSE) / VLOOKUP("electricity|SO2|Premature mortality", US_national_yearly!$D:$AM, 10, FALSE), 1)</f>
        <v>8.6497762750023497E-5</v>
      </c>
      <c r="L2" s="7">
        <f>$B2 * IFERROR(VLOOKUP("electricity|SO2|Premature mortality", US_national_yearly!$D:$AM, 20, FALSE) / VLOOKUP("electricity|SO2|Premature mortality", US_national_yearly!$D:$AM, 10, FALSE), 1)</f>
        <v>8.7747581007105517E-5</v>
      </c>
      <c r="M2" s="7">
        <f>$B2 * IFERROR(VLOOKUP("electricity|SO2|Premature mortality", US_national_yearly!$D:$AM, 21, FALSE) / VLOOKUP("electricity|SO2|Premature mortality", US_national_yearly!$D:$AM, 10, FALSE), 1)</f>
        <v>8.8997399264187496E-5</v>
      </c>
      <c r="N2" s="7">
        <f>$B2 * IFERROR(VLOOKUP("electricity|SO2|Premature mortality", US_national_yearly!$D:$AM, 22, FALSE) / VLOOKUP("electricity|SO2|Premature mortality", US_national_yearly!$D:$AM, 10, FALSE), 1)</f>
        <v>8.9999028981274686E-5</v>
      </c>
      <c r="O2" s="7">
        <f>$B2 * IFERROR(VLOOKUP("electricity|SO2|Premature mortality", US_national_yearly!$D:$AM, 23, FALSE) / VLOOKUP("electricity|SO2|Premature mortality", US_national_yearly!$D:$AM, 10, FALSE), 1)</f>
        <v>9.1000658698361903E-5</v>
      </c>
      <c r="P2" s="7">
        <f>$B2 * IFERROR(VLOOKUP("electricity|SO2|Premature mortality", US_national_yearly!$D:$AM, 24, FALSE) / VLOOKUP("electricity|SO2|Premature mortality", US_national_yearly!$D:$AM, 10, FALSE), 1)</f>
        <v>9.200228841544908E-5</v>
      </c>
      <c r="Q2" s="7">
        <f>$B2 * IFERROR(VLOOKUP("electricity|SO2|Premature mortality", US_national_yearly!$D:$AM, 25, FALSE) / VLOOKUP("electricity|SO2|Premature mortality", US_national_yearly!$D:$AM, 10, FALSE), 1)</f>
        <v>9.300391813253627E-5</v>
      </c>
      <c r="R2" s="7">
        <f>$B2 * IFERROR(VLOOKUP("electricity|SO2|Premature mortality", US_national_yearly!$D:$AM, 26, FALSE) / VLOOKUP("electricity|SO2|Premature mortality", US_national_yearly!$D:$AM, 10, FALSE), 1)</f>
        <v>9.400554784962346E-5</v>
      </c>
      <c r="S2" s="7">
        <f>$B2 * IFERROR(VLOOKUP("electricity|SO2|Premature mortality", US_national_yearly!$D:$AM, 27, FALSE) / VLOOKUP("electricity|SO2|Premature mortality", US_national_yearly!$D:$AM, 10, FALSE), 1)</f>
        <v>9.4579811423578384E-5</v>
      </c>
      <c r="T2" s="7">
        <f>$B2 * IFERROR(VLOOKUP("electricity|SO2|Premature mortality", US_national_yearly!$D:$AM, 28, FALSE) / VLOOKUP("electricity|SO2|Premature mortality", US_national_yearly!$D:$AM, 10, FALSE), 1)</f>
        <v>9.5154074997533334E-5</v>
      </c>
      <c r="U2" s="7">
        <f>$B2 * IFERROR(VLOOKUP("electricity|SO2|Premature mortality", US_national_yearly!$D:$AM, 29, FALSE) / VLOOKUP("electricity|SO2|Premature mortality", US_national_yearly!$D:$AM, 10, FALSE), 1)</f>
        <v>9.5728338571488271E-5</v>
      </c>
      <c r="V2" s="7">
        <f>$B2 * IFERROR(VLOOKUP("electricity|SO2|Premature mortality", US_national_yearly!$D:$AM, 30, FALSE) / VLOOKUP("electricity|SO2|Premature mortality", US_national_yearly!$D:$AM, 10, FALSE), 1)</f>
        <v>9.6302602145443222E-5</v>
      </c>
      <c r="W2" s="7">
        <f>$B2 * IFERROR(VLOOKUP("electricity|SO2|Premature mortality", US_national_yearly!$D:$AM, 31, FALSE) / VLOOKUP("electricity|SO2|Premature mortality", US_national_yearly!$D:$AM, 10, FALSE), 1)</f>
        <v>9.6876865719398145E-5</v>
      </c>
      <c r="X2" s="7">
        <f>$B2 * IFERROR(VLOOKUP("electricity|SO2|Premature mortality", US_national_yearly!$D:$AM, 32, FALSE) / VLOOKUP("electricity|SO2|Premature mortality", US_national_yearly!$D:$AM, 10, FALSE), 1)</f>
        <v>9.7046069993959649E-5</v>
      </c>
      <c r="Y2" s="7">
        <f>$B2 * IFERROR(VLOOKUP("electricity|SO2|Premature mortality", US_national_yearly!$D:$AM, 33, FALSE) / VLOOKUP("electricity|SO2|Premature mortality", US_national_yearly!$D:$AM, 10, FALSE), 1)</f>
        <v>9.7215274268521126E-5</v>
      </c>
      <c r="Z2" s="7">
        <f>$B2 * IFERROR(VLOOKUP("electricity|SO2|Premature mortality", US_national_yearly!$D:$AM, 34, FALSE) / VLOOKUP("electricity|SO2|Premature mortality", US_national_yearly!$D:$AM, 10, FALSE), 1)</f>
        <v>9.7384478543082603E-5</v>
      </c>
      <c r="AA2" s="7">
        <f>$B2 * IFERROR(VLOOKUP("electricity|SO2|Premature mortality", US_national_yearly!$D:$AM, 35, FALSE) / VLOOKUP("electricity|SO2|Premature mortality", US_national_yearly!$D:$AM, 10, FALSE), 1)</f>
        <v>9.7553682817644094E-5</v>
      </c>
      <c r="AB2" s="7">
        <f>$B2 * IFERROR(VLOOKUP("electricity|SO2|Premature mortality", US_national_yearly!$D:$AM, 36, FALSE) / VLOOKUP("electricity|SO2|Premature mortality", US_national_yearly!$D:$AM, 10, FALSE), 1)</f>
        <v>9.7722887092205584E-5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2.4004681093357976E-7</v>
      </c>
      <c r="C3" s="7">
        <f>$B3 * IFERROR(VLOOKUP("electricity|SO2|Infant mortality", US_national_yearly!$D:$AM, 11, FALSE) / VLOOKUP("electricity|SO2|Infant mortality", US_national_yearly!$D:$AM, 10, FALSE), 1)</f>
        <v>2.3801887179787482E-7</v>
      </c>
      <c r="D3" s="7">
        <f>$B3 * IFERROR(VLOOKUP("electricity|SO2|Infant mortality", US_national_yearly!$D:$AM, 12, FALSE) / VLOOKUP("electricity|SO2|Infant mortality", US_national_yearly!$D:$AM, 10, FALSE), 1)</f>
        <v>2.3599093266216984E-7</v>
      </c>
      <c r="E3" s="7">
        <f>$B3 * IFERROR(VLOOKUP("electricity|SO2|Infant mortality", US_national_yearly!$D:$AM, 13, FALSE) / VLOOKUP("electricity|SO2|Infant mortality", US_national_yearly!$D:$AM, 10, FALSE), 1)</f>
        <v>2.3396299352646487E-7</v>
      </c>
      <c r="F3" s="7">
        <f>$B3 * IFERROR(VLOOKUP("electricity|SO2|Infant mortality", US_national_yearly!$D:$AM, 14, FALSE) / VLOOKUP("electricity|SO2|Infant mortality", US_national_yearly!$D:$AM, 10, FALSE), 1)</f>
        <v>2.3193505439075997E-7</v>
      </c>
      <c r="G3" s="7">
        <f>$B3 * IFERROR(VLOOKUP("electricity|SO2|Infant mortality", US_national_yearly!$D:$AM, 15, FALSE) / VLOOKUP("electricity|SO2|Infant mortality", US_national_yearly!$D:$AM, 10, FALSE), 1)</f>
        <v>1.5424882569948068E-7</v>
      </c>
      <c r="H3" s="7">
        <f>$B3 * IFERROR(VLOOKUP("electricity|SO2|Infant mortality", US_national_yearly!$D:$AM, 16, FALSE) / VLOOKUP("electricity|SO2|Infant mortality", US_national_yearly!$D:$AM, 10, FALSE), 1)</f>
        <v>7.6562597008201386E-8</v>
      </c>
      <c r="I3" s="7">
        <f>$B3 * IFERROR(VLOOKUP("electricity|SO2|Infant mortality", US_national_yearly!$D:$AM, 17, FALSE) / VLOOKUP("electricity|SO2|Infant mortality", US_national_yearly!$D:$AM, 10, FALSE), 1)</f>
        <v>7.6072789276127061E-8</v>
      </c>
      <c r="J3" s="7">
        <f>$B3 * IFERROR(VLOOKUP("electricity|SO2|Infant mortality", US_national_yearly!$D:$AM, 18, FALSE) / VLOOKUP("electricity|SO2|Infant mortality", US_national_yearly!$D:$AM, 10, FALSE), 1)</f>
        <v>7.5582981544052736E-8</v>
      </c>
      <c r="K3" s="7">
        <f>$B3 * IFERROR(VLOOKUP("electricity|SO2|Infant mortality", US_national_yearly!$D:$AM, 19, FALSE) / VLOOKUP("electricity|SO2|Infant mortality", US_national_yearly!$D:$AM, 10, FALSE), 1)</f>
        <v>7.5093173811978424E-8</v>
      </c>
      <c r="L3" s="7">
        <f>$B3 * IFERROR(VLOOKUP("electricity|SO2|Infant mortality", US_national_yearly!$D:$AM, 20, FALSE) / VLOOKUP("electricity|SO2|Infant mortality", US_national_yearly!$D:$AM, 10, FALSE), 1)</f>
        <v>7.4603366079904086E-8</v>
      </c>
      <c r="M3" s="7">
        <f>$B3 * IFERROR(VLOOKUP("electricity|SO2|Infant mortality", US_national_yearly!$D:$AM, 21, FALSE) / VLOOKUP("electricity|SO2|Infant mortality", US_national_yearly!$D:$AM, 10, FALSE), 1)</f>
        <v>7.4113558347829761E-8</v>
      </c>
      <c r="N3" s="7">
        <f>$B3 * IFERROR(VLOOKUP("electricity|SO2|Infant mortality", US_national_yearly!$D:$AM, 22, FALSE) / VLOOKUP("electricity|SO2|Infant mortality", US_national_yearly!$D:$AM, 10, FALSE), 1)</f>
        <v>7.3803194463922941E-8</v>
      </c>
      <c r="O3" s="7">
        <f>$B3 * IFERROR(VLOOKUP("electricity|SO2|Infant mortality", US_national_yearly!$D:$AM, 23, FALSE) / VLOOKUP("electricity|SO2|Infant mortality", US_national_yearly!$D:$AM, 10, FALSE), 1)</f>
        <v>7.3492830580016108E-8</v>
      </c>
      <c r="P3" s="7">
        <f>$B3 * IFERROR(VLOOKUP("electricity|SO2|Infant mortality", US_national_yearly!$D:$AM, 24, FALSE) / VLOOKUP("electricity|SO2|Infant mortality", US_national_yearly!$D:$AM, 10, FALSE), 1)</f>
        <v>7.3182466696109275E-8</v>
      </c>
      <c r="Q3" s="7">
        <f>$B3 * IFERROR(VLOOKUP("electricity|SO2|Infant mortality", US_national_yearly!$D:$AM, 25, FALSE) / VLOOKUP("electricity|SO2|Infant mortality", US_national_yearly!$D:$AM, 10, FALSE), 1)</f>
        <v>7.2872102812202455E-8</v>
      </c>
      <c r="R3" s="7">
        <f>$B3 * IFERROR(VLOOKUP("electricity|SO2|Infant mortality", US_national_yearly!$D:$AM, 26, FALSE) / VLOOKUP("electricity|SO2|Infant mortality", US_national_yearly!$D:$AM, 10, FALSE), 1)</f>
        <v>7.2561738928295635E-8</v>
      </c>
      <c r="S3" s="7">
        <f>$B3 * IFERROR(VLOOKUP("electricity|SO2|Infant mortality", US_national_yearly!$D:$AM, 27, FALSE) / VLOOKUP("electricity|SO2|Infant mortality", US_national_yearly!$D:$AM, 10, FALSE), 1)</f>
        <v>7.2174909673467185E-8</v>
      </c>
      <c r="T3" s="7">
        <f>$B3 * IFERROR(VLOOKUP("electricity|SO2|Infant mortality", US_national_yearly!$D:$AM, 28, FALSE) / VLOOKUP("electricity|SO2|Infant mortality", US_national_yearly!$D:$AM, 10, FALSE), 1)</f>
        <v>7.1788080418638748E-8</v>
      </c>
      <c r="U3" s="7">
        <f>$B3 * IFERROR(VLOOKUP("electricity|SO2|Infant mortality", US_national_yearly!$D:$AM, 29, FALSE) / VLOOKUP("electricity|SO2|Infant mortality", US_national_yearly!$D:$AM, 10, FALSE), 1)</f>
        <v>7.1401251163810311E-8</v>
      </c>
      <c r="V3" s="7">
        <f>$B3 * IFERROR(VLOOKUP("electricity|SO2|Infant mortality", US_national_yearly!$D:$AM, 30, FALSE) / VLOOKUP("electricity|SO2|Infant mortality", US_national_yearly!$D:$AM, 10, FALSE), 1)</f>
        <v>7.1014421908981875E-8</v>
      </c>
      <c r="W3" s="7">
        <f>$B3 * IFERROR(VLOOKUP("electricity|SO2|Infant mortality", US_national_yearly!$D:$AM, 31, FALSE) / VLOOKUP("electricity|SO2|Infant mortality", US_national_yearly!$D:$AM, 10, FALSE), 1)</f>
        <v>7.0627592654153412E-8</v>
      </c>
      <c r="X3" s="7">
        <f>$B3 * IFERROR(VLOOKUP("electricity|SO2|Infant mortality", US_national_yearly!$D:$AM, 32, FALSE) / VLOOKUP("electricity|SO2|Infant mortality", US_national_yearly!$D:$AM, 10, FALSE), 1)</f>
        <v>7.0214857167127232E-8</v>
      </c>
      <c r="Y3" s="7">
        <f>$B3 * IFERROR(VLOOKUP("electricity|SO2|Infant mortality", US_national_yearly!$D:$AM, 33, FALSE) / VLOOKUP("electricity|SO2|Infant mortality", US_national_yearly!$D:$AM, 10, FALSE), 1)</f>
        <v>6.9802121680101012E-8</v>
      </c>
      <c r="Z3" s="7">
        <f>$B3 * IFERROR(VLOOKUP("electricity|SO2|Infant mortality", US_national_yearly!$D:$AM, 34, FALSE) / VLOOKUP("electricity|SO2|Infant mortality", US_national_yearly!$D:$AM, 10, FALSE), 1)</f>
        <v>6.9389386193074832E-8</v>
      </c>
      <c r="AA3" s="7">
        <f>$B3 * IFERROR(VLOOKUP("electricity|SO2|Infant mortality", US_national_yearly!$D:$AM, 35, FALSE) / VLOOKUP("electricity|SO2|Infant mortality", US_national_yearly!$D:$AM, 10, FALSE), 1)</f>
        <v>6.8976650706048638E-8</v>
      </c>
      <c r="AB3" s="7">
        <f>$B3 * IFERROR(VLOOKUP("electricity|SO2|Infant mortality", US_national_yearly!$D:$AM, 36, FALSE) / VLOOKUP("electricity|SO2|Infant mortality", US_national_yearly!$D:$AM, 10, FALSE), 1)</f>
        <v>6.8563915219022445E-8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2.2974191914748411E-4</v>
      </c>
      <c r="C6" s="7">
        <f>$B6 * IFERROR(VLOOKUP("electricity|SO2|Asthma symptoms cough", US_national_yearly!$D:$AM, 11, FALSE) / VLOOKUP("electricity|SO2|Asthma symptoms cough", US_national_yearly!$D:$AM, 10, FALSE), 1)</f>
        <v>2.2974191914748411E-4</v>
      </c>
      <c r="D6" s="7">
        <f>$B6 * IFERROR(VLOOKUP("electricity|SO2|Asthma symptoms cough", US_national_yearly!$D:$AM, 12, FALSE) / VLOOKUP("electricity|SO2|Asthma symptoms cough", US_national_yearly!$D:$AM, 10, FALSE), 1)</f>
        <v>2.2974191914748411E-4</v>
      </c>
      <c r="E6" s="7">
        <f>$B6 * IFERROR(VLOOKUP("electricity|SO2|Asthma symptoms cough", US_national_yearly!$D:$AM, 13, FALSE) / VLOOKUP("electricity|SO2|Asthma symptoms cough", US_national_yearly!$D:$AM, 10, FALSE), 1)</f>
        <v>2.2974191914748411E-4</v>
      </c>
      <c r="F6" s="7">
        <f>$B6 * IFERROR(VLOOKUP("electricity|SO2|Asthma symptoms cough", US_national_yearly!$D:$AM, 14, FALSE) / VLOOKUP("electricity|SO2|Asthma symptoms cough", US_national_yearly!$D:$AM, 10, FALSE), 1)</f>
        <v>2.2974191914748411E-4</v>
      </c>
      <c r="G6" s="7">
        <f>$B6 * IFERROR(VLOOKUP("electricity|SO2|Asthma symptoms cough", US_national_yearly!$D:$AM, 15, FALSE) / VLOOKUP("electricity|SO2|Asthma symptoms cough", US_national_yearly!$D:$AM, 10, FALSE), 1)</f>
        <v>2.2974191914748411E-4</v>
      </c>
      <c r="H6" s="7">
        <f>$B6 * IFERROR(VLOOKUP("electricity|SO2|Asthma symptoms cough", US_national_yearly!$D:$AM, 16, FALSE) / VLOOKUP("electricity|SO2|Asthma symptoms cough", US_national_yearly!$D:$AM, 10, FALSE), 1)</f>
        <v>2.2974191914748411E-4</v>
      </c>
      <c r="I6" s="7">
        <f>$B6 * IFERROR(VLOOKUP("electricity|SO2|Asthma symptoms cough", US_national_yearly!$D:$AM, 17, FALSE) / VLOOKUP("electricity|SO2|Asthma symptoms cough", US_national_yearly!$D:$AM, 10, FALSE), 1)</f>
        <v>2.2974191914748411E-4</v>
      </c>
      <c r="J6" s="7">
        <f>$B6 * IFERROR(VLOOKUP("electricity|SO2|Asthma symptoms cough", US_national_yearly!$D:$AM, 18, FALSE) / VLOOKUP("electricity|SO2|Asthma symptoms cough", US_national_yearly!$D:$AM, 10, FALSE), 1)</f>
        <v>2.2974191914748411E-4</v>
      </c>
      <c r="K6" s="7">
        <f>$B6 * IFERROR(VLOOKUP("electricity|SO2|Asthma symptoms cough", US_national_yearly!$D:$AM, 19, FALSE) / VLOOKUP("electricity|SO2|Asthma symptoms cough", US_national_yearly!$D:$AM, 10, FALSE), 1)</f>
        <v>2.2974191914748411E-4</v>
      </c>
      <c r="L6" s="7">
        <f>$B6 * IFERROR(VLOOKUP("electricity|SO2|Asthma symptoms cough", US_national_yearly!$D:$AM, 20, FALSE) / VLOOKUP("electricity|SO2|Asthma symptoms cough", US_national_yearly!$D:$AM, 10, FALSE), 1)</f>
        <v>2.2974191914748411E-4</v>
      </c>
      <c r="M6" s="7">
        <f>$B6 * IFERROR(VLOOKUP("electricity|SO2|Asthma symptoms cough", US_national_yearly!$D:$AM, 21, FALSE) / VLOOKUP("electricity|SO2|Asthma symptoms cough", US_national_yearly!$D:$AM, 10, FALSE), 1)</f>
        <v>2.2974191914748411E-4</v>
      </c>
      <c r="N6" s="7">
        <f>$B6 * IFERROR(VLOOKUP("electricity|SO2|Asthma symptoms cough", US_national_yearly!$D:$AM, 22, FALSE) / VLOOKUP("electricity|SO2|Asthma symptoms cough", US_national_yearly!$D:$AM, 10, FALSE), 1)</f>
        <v>2.2974191914748411E-4</v>
      </c>
      <c r="O6" s="7">
        <f>$B6 * IFERROR(VLOOKUP("electricity|SO2|Asthma symptoms cough", US_national_yearly!$D:$AM, 23, FALSE) / VLOOKUP("electricity|SO2|Asthma symptoms cough", US_national_yearly!$D:$AM, 10, FALSE), 1)</f>
        <v>2.2974191914748411E-4</v>
      </c>
      <c r="P6" s="7">
        <f>$B6 * IFERROR(VLOOKUP("electricity|SO2|Asthma symptoms cough", US_national_yearly!$D:$AM, 24, FALSE) / VLOOKUP("electricity|SO2|Asthma symptoms cough", US_national_yearly!$D:$AM, 10, FALSE), 1)</f>
        <v>2.2974191914748411E-4</v>
      </c>
      <c r="Q6" s="7">
        <f>$B6 * IFERROR(VLOOKUP("electricity|SO2|Asthma symptoms cough", US_national_yearly!$D:$AM, 25, FALSE) / VLOOKUP("electricity|SO2|Asthma symptoms cough", US_national_yearly!$D:$AM, 10, FALSE), 1)</f>
        <v>2.2974191914748411E-4</v>
      </c>
      <c r="R6" s="7">
        <f>$B6 * IFERROR(VLOOKUP("electricity|SO2|Asthma symptoms cough", US_national_yearly!$D:$AM, 26, FALSE) / VLOOKUP("electricity|SO2|Asthma symptoms cough", US_national_yearly!$D:$AM, 10, FALSE), 1)</f>
        <v>2.2974191914748411E-4</v>
      </c>
      <c r="S6" s="7">
        <f>$B6 * IFERROR(VLOOKUP("electricity|SO2|Asthma symptoms cough", US_national_yearly!$D:$AM, 27, FALSE) / VLOOKUP("electricity|SO2|Asthma symptoms cough", US_national_yearly!$D:$AM, 10, FALSE), 1)</f>
        <v>2.2974191914748411E-4</v>
      </c>
      <c r="T6" s="7">
        <f>$B6 * IFERROR(VLOOKUP("electricity|SO2|Asthma symptoms cough", US_national_yearly!$D:$AM, 28, FALSE) / VLOOKUP("electricity|SO2|Asthma symptoms cough", US_national_yearly!$D:$AM, 10, FALSE), 1)</f>
        <v>2.2974191914748411E-4</v>
      </c>
      <c r="U6" s="7">
        <f>$B6 * IFERROR(VLOOKUP("electricity|SO2|Asthma symptoms cough", US_national_yearly!$D:$AM, 29, FALSE) / VLOOKUP("electricity|SO2|Asthma symptoms cough", US_national_yearly!$D:$AM, 10, FALSE), 1)</f>
        <v>2.2974191914748411E-4</v>
      </c>
      <c r="V6" s="7">
        <f>$B6 * IFERROR(VLOOKUP("electricity|SO2|Asthma symptoms cough", US_national_yearly!$D:$AM, 30, FALSE) / VLOOKUP("electricity|SO2|Asthma symptoms cough", US_national_yearly!$D:$AM, 10, FALSE), 1)</f>
        <v>2.2974191914748411E-4</v>
      </c>
      <c r="W6" s="7">
        <f>$B6 * IFERROR(VLOOKUP("electricity|SO2|Asthma symptoms cough", US_national_yearly!$D:$AM, 31, FALSE) / VLOOKUP("electricity|SO2|Asthma symptoms cough", US_national_yearly!$D:$AM, 10, FALSE), 1)</f>
        <v>2.2974191914748411E-4</v>
      </c>
      <c r="X6" s="7">
        <f>$B6 * IFERROR(VLOOKUP("electricity|SO2|Asthma symptoms cough", US_national_yearly!$D:$AM, 32, FALSE) / VLOOKUP("electricity|SO2|Asthma symptoms cough", US_national_yearly!$D:$AM, 10, FALSE), 1)</f>
        <v>2.2974191914748411E-4</v>
      </c>
      <c r="Y6" s="7">
        <f>$B6 * IFERROR(VLOOKUP("electricity|SO2|Asthma symptoms cough", US_national_yearly!$D:$AM, 33, FALSE) / VLOOKUP("electricity|SO2|Asthma symptoms cough", US_national_yearly!$D:$AM, 10, FALSE), 1)</f>
        <v>2.2974191914748411E-4</v>
      </c>
      <c r="Z6" s="7">
        <f>$B6 * IFERROR(VLOOKUP("electricity|SO2|Asthma symptoms cough", US_national_yearly!$D:$AM, 34, FALSE) / VLOOKUP("electricity|SO2|Asthma symptoms cough", US_national_yearly!$D:$AM, 10, FALSE), 1)</f>
        <v>2.2974191914748411E-4</v>
      </c>
      <c r="AA6" s="7">
        <f>$B6 * IFERROR(VLOOKUP("electricity|SO2|Asthma symptoms cough", US_national_yearly!$D:$AM, 35, FALSE) / VLOOKUP("electricity|SO2|Asthma symptoms cough", US_national_yearly!$D:$AM, 10, FALSE), 1)</f>
        <v>2.2974191914748411E-4</v>
      </c>
      <c r="AB6" s="7">
        <f>$B6 * IFERROR(VLOOKUP("electricity|SO2|Asthma symptoms cough", US_national_yearly!$D:$AM, 36, FALSE) / VLOOKUP("electricity|SO2|Asthma symptoms cough", US_national_yearly!$D:$AM, 10, FALSE), 1)</f>
        <v>2.2974191914748411E-4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3.0938121228805759E-4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3.0938121228805759E-4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3.0938121228805759E-4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3.0938121228805759E-4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3.0938121228805759E-4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3.0938121228805759E-4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3.0938121228805759E-4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3.0938121228805759E-4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3.0938121228805759E-4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3.0938121228805759E-4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3.0938121228805759E-4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3.0938121228805759E-4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3.0938121228805759E-4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3.0938121228805759E-4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3.0938121228805759E-4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3.0938121228805759E-4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3.0938121228805759E-4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3.0938121228805759E-4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3.0938121228805759E-4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3.0938121228805759E-4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3.0938121228805759E-4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3.0938121228805759E-4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3.0938121228805759E-4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3.0938121228805759E-4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3.0938121228805759E-4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3.0938121228805759E-4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3.0938121228805759E-4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4.7268069024944078E-4</v>
      </c>
      <c r="C8" s="7">
        <f>$B8 * IFERROR(VLOOKUP("electricity|SO2|Asthma symptoms wheeze", US_national_yearly!$D:$AM, 11, FALSE) / VLOOKUP("electricity|SO2|Asthma symptoms wheeze", US_national_yearly!$D:$AM, 10, FALSE), 1)</f>
        <v>4.7268069024944078E-4</v>
      </c>
      <c r="D8" s="7">
        <f>$B8 * IFERROR(VLOOKUP("electricity|SO2|Asthma symptoms wheeze", US_national_yearly!$D:$AM, 12, FALSE) / VLOOKUP("electricity|SO2|Asthma symptoms wheeze", US_national_yearly!$D:$AM, 10, FALSE), 1)</f>
        <v>4.7268069024944078E-4</v>
      </c>
      <c r="E8" s="7">
        <f>$B8 * IFERROR(VLOOKUP("electricity|SO2|Asthma symptoms wheeze", US_national_yearly!$D:$AM, 13, FALSE) / VLOOKUP("electricity|SO2|Asthma symptoms wheeze", US_national_yearly!$D:$AM, 10, FALSE), 1)</f>
        <v>4.7268069024944078E-4</v>
      </c>
      <c r="F8" s="7">
        <f>$B8 * IFERROR(VLOOKUP("electricity|SO2|Asthma symptoms wheeze", US_national_yearly!$D:$AM, 14, FALSE) / VLOOKUP("electricity|SO2|Asthma symptoms wheeze", US_national_yearly!$D:$AM, 10, FALSE), 1)</f>
        <v>4.7268069024944078E-4</v>
      </c>
      <c r="G8" s="7">
        <f>$B8 * IFERROR(VLOOKUP("electricity|SO2|Asthma symptoms wheeze", US_national_yearly!$D:$AM, 15, FALSE) / VLOOKUP("electricity|SO2|Asthma symptoms wheeze", US_national_yearly!$D:$AM, 10, FALSE), 1)</f>
        <v>4.7268069024944078E-4</v>
      </c>
      <c r="H8" s="7">
        <f>$B8 * IFERROR(VLOOKUP("electricity|SO2|Asthma symptoms wheeze", US_national_yearly!$D:$AM, 16, FALSE) / VLOOKUP("electricity|SO2|Asthma symptoms wheeze", US_national_yearly!$D:$AM, 10, FALSE), 1)</f>
        <v>4.7268069024944078E-4</v>
      </c>
      <c r="I8" s="7">
        <f>$B8 * IFERROR(VLOOKUP("electricity|SO2|Asthma symptoms wheeze", US_national_yearly!$D:$AM, 17, FALSE) / VLOOKUP("electricity|SO2|Asthma symptoms wheeze", US_national_yearly!$D:$AM, 10, FALSE), 1)</f>
        <v>4.7268069024944078E-4</v>
      </c>
      <c r="J8" s="7">
        <f>$B8 * IFERROR(VLOOKUP("electricity|SO2|Asthma symptoms wheeze", US_national_yearly!$D:$AM, 18, FALSE) / VLOOKUP("electricity|SO2|Asthma symptoms wheeze", US_national_yearly!$D:$AM, 10, FALSE), 1)</f>
        <v>4.7268069024944078E-4</v>
      </c>
      <c r="K8" s="7">
        <f>$B8 * IFERROR(VLOOKUP("electricity|SO2|Asthma symptoms wheeze", US_national_yearly!$D:$AM, 19, FALSE) / VLOOKUP("electricity|SO2|Asthma symptoms wheeze", US_national_yearly!$D:$AM, 10, FALSE), 1)</f>
        <v>4.7268069024944078E-4</v>
      </c>
      <c r="L8" s="7">
        <f>$B8 * IFERROR(VLOOKUP("electricity|SO2|Asthma symptoms wheeze", US_national_yearly!$D:$AM, 20, FALSE) / VLOOKUP("electricity|SO2|Asthma symptoms wheeze", US_national_yearly!$D:$AM, 10, FALSE), 1)</f>
        <v>4.7268069024944078E-4</v>
      </c>
      <c r="M8" s="7">
        <f>$B8 * IFERROR(VLOOKUP("electricity|SO2|Asthma symptoms wheeze", US_national_yearly!$D:$AM, 21, FALSE) / VLOOKUP("electricity|SO2|Asthma symptoms wheeze", US_national_yearly!$D:$AM, 10, FALSE), 1)</f>
        <v>4.7268069024944078E-4</v>
      </c>
      <c r="N8" s="7">
        <f>$B8 * IFERROR(VLOOKUP("electricity|SO2|Asthma symptoms wheeze", US_national_yearly!$D:$AM, 22, FALSE) / VLOOKUP("electricity|SO2|Asthma symptoms wheeze", US_national_yearly!$D:$AM, 10, FALSE), 1)</f>
        <v>4.7268069024944078E-4</v>
      </c>
      <c r="O8" s="7">
        <f>$B8 * IFERROR(VLOOKUP("electricity|SO2|Asthma symptoms wheeze", US_national_yearly!$D:$AM, 23, FALSE) / VLOOKUP("electricity|SO2|Asthma symptoms wheeze", US_national_yearly!$D:$AM, 10, FALSE), 1)</f>
        <v>4.7268069024944078E-4</v>
      </c>
      <c r="P8" s="7">
        <f>$B8 * IFERROR(VLOOKUP("electricity|SO2|Asthma symptoms wheeze", US_national_yearly!$D:$AM, 24, FALSE) / VLOOKUP("electricity|SO2|Asthma symptoms wheeze", US_national_yearly!$D:$AM, 10, FALSE), 1)</f>
        <v>4.7268069024944078E-4</v>
      </c>
      <c r="Q8" s="7">
        <f>$B8 * IFERROR(VLOOKUP("electricity|SO2|Asthma symptoms wheeze", US_national_yearly!$D:$AM, 25, FALSE) / VLOOKUP("electricity|SO2|Asthma symptoms wheeze", US_national_yearly!$D:$AM, 10, FALSE), 1)</f>
        <v>4.7268069024944078E-4</v>
      </c>
      <c r="R8" s="7">
        <f>$B8 * IFERROR(VLOOKUP("electricity|SO2|Asthma symptoms wheeze", US_national_yearly!$D:$AM, 26, FALSE) / VLOOKUP("electricity|SO2|Asthma symptoms wheeze", US_national_yearly!$D:$AM, 10, FALSE), 1)</f>
        <v>4.7268069024944078E-4</v>
      </c>
      <c r="S8" s="7">
        <f>$B8 * IFERROR(VLOOKUP("electricity|SO2|Asthma symptoms wheeze", US_national_yearly!$D:$AM, 27, FALSE) / VLOOKUP("electricity|SO2|Asthma symptoms wheeze", US_national_yearly!$D:$AM, 10, FALSE), 1)</f>
        <v>4.7268069024944078E-4</v>
      </c>
      <c r="T8" s="7">
        <f>$B8 * IFERROR(VLOOKUP("electricity|SO2|Asthma symptoms wheeze", US_national_yearly!$D:$AM, 28, FALSE) / VLOOKUP("electricity|SO2|Asthma symptoms wheeze", US_national_yearly!$D:$AM, 10, FALSE), 1)</f>
        <v>4.7268069024944078E-4</v>
      </c>
      <c r="U8" s="7">
        <f>$B8 * IFERROR(VLOOKUP("electricity|SO2|Asthma symptoms wheeze", US_national_yearly!$D:$AM, 29, FALSE) / VLOOKUP("electricity|SO2|Asthma symptoms wheeze", US_national_yearly!$D:$AM, 10, FALSE), 1)</f>
        <v>4.7268069024944078E-4</v>
      </c>
      <c r="V8" s="7">
        <f>$B8 * IFERROR(VLOOKUP("electricity|SO2|Asthma symptoms wheeze", US_national_yearly!$D:$AM, 30, FALSE) / VLOOKUP("electricity|SO2|Asthma symptoms wheeze", US_national_yearly!$D:$AM, 10, FALSE), 1)</f>
        <v>4.7268069024944078E-4</v>
      </c>
      <c r="W8" s="7">
        <f>$B8 * IFERROR(VLOOKUP("electricity|SO2|Asthma symptoms wheeze", US_national_yearly!$D:$AM, 31, FALSE) / VLOOKUP("electricity|SO2|Asthma symptoms wheeze", US_national_yearly!$D:$AM, 10, FALSE), 1)</f>
        <v>4.7268069024944078E-4</v>
      </c>
      <c r="X8" s="7">
        <f>$B8 * IFERROR(VLOOKUP("electricity|SO2|Asthma symptoms wheeze", US_national_yearly!$D:$AM, 32, FALSE) / VLOOKUP("electricity|SO2|Asthma symptoms wheeze", US_national_yearly!$D:$AM, 10, FALSE), 1)</f>
        <v>4.7268069024944078E-4</v>
      </c>
      <c r="Y8" s="7">
        <f>$B8 * IFERROR(VLOOKUP("electricity|SO2|Asthma symptoms wheeze", US_national_yearly!$D:$AM, 33, FALSE) / VLOOKUP("electricity|SO2|Asthma symptoms wheeze", US_national_yearly!$D:$AM, 10, FALSE), 1)</f>
        <v>4.7268069024944078E-4</v>
      </c>
      <c r="Z8" s="7">
        <f>$B8 * IFERROR(VLOOKUP("electricity|SO2|Asthma symptoms wheeze", US_national_yearly!$D:$AM, 34, FALSE) / VLOOKUP("electricity|SO2|Asthma symptoms wheeze", US_national_yearly!$D:$AM, 10, FALSE), 1)</f>
        <v>4.7268069024944078E-4</v>
      </c>
      <c r="AA8" s="7">
        <f>$B8 * IFERROR(VLOOKUP("electricity|SO2|Asthma symptoms wheeze", US_national_yearly!$D:$AM, 35, FALSE) / VLOOKUP("electricity|SO2|Asthma symptoms wheeze", US_national_yearly!$D:$AM, 10, FALSE), 1)</f>
        <v>4.7268069024944078E-4</v>
      </c>
      <c r="AB8" s="7">
        <f>$B8 * IFERROR(VLOOKUP("electricity|SO2|Asthma symptoms wheeze", US_national_yearly!$D:$AM, 36, FALSE) / VLOOKUP("electricity|SO2|Asthma symptoms wheeze", US_national_yearly!$D:$AM, 10, FALSE), 1)</f>
        <v>4.7268069024944078E-4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6.3054541558203318E-6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6.3425909535640983E-6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6.3797277513078665E-6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6.416864549051633E-6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6.4540013467954012E-6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6.4944691505336396E-6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6.5349369542718805E-6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6.5738675728732346E-6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6.6127981914745895E-6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6.6517288100759453E-6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6.6906594286772994E-6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6.7295900472786543E-6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6.7575134384315293E-6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6.7854368295844061E-6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6.8133602207372812E-6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6.8412836118901571E-6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6.869207003043033E-6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6.8955625739914302E-6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6.9219181449398283E-6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6.9482737158882255E-6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6.9746292868366236E-6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7.0009848577850225E-6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7.0262684670377099E-6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7.0515520762903999E-6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7.0768356855430899E-6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7.1021192947957773E-6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7.1274029040484682E-6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3.3657768426188965E-5</v>
      </c>
      <c r="C13" s="7">
        <f>$B13 * IFERROR(VLOOKUP("electricity|SO2|Non-fatal heart attacks", US_national_yearly!$D:$AM, 11, FALSE) / VLOOKUP("electricity|SO2|Non-fatal heart attacks", US_national_yearly!$D:$AM, 10, FALSE), 1)</f>
        <v>3.464917716386466E-5</v>
      </c>
      <c r="D13" s="7">
        <f>$B13 * IFERROR(VLOOKUP("electricity|SO2|Non-fatal heart attacks", US_national_yearly!$D:$AM, 12, FALSE) / VLOOKUP("electricity|SO2|Non-fatal heart attacks", US_national_yearly!$D:$AM, 10, FALSE), 1)</f>
        <v>3.5640585901540349E-5</v>
      </c>
      <c r="E13" s="7">
        <f>$B13 * IFERROR(VLOOKUP("electricity|SO2|Non-fatal heart attacks", US_national_yearly!$D:$AM, 13, FALSE) / VLOOKUP("electricity|SO2|Non-fatal heart attacks", US_national_yearly!$D:$AM, 10, FALSE), 1)</f>
        <v>3.6631994639216044E-5</v>
      </c>
      <c r="F13" s="7">
        <f>$B13 * IFERROR(VLOOKUP("electricity|SO2|Non-fatal heart attacks", US_national_yearly!$D:$AM, 14, FALSE) / VLOOKUP("electricity|SO2|Non-fatal heart attacks", US_national_yearly!$D:$AM, 10, FALSE), 1)</f>
        <v>3.7623403376891733E-5</v>
      </c>
      <c r="G13" s="7">
        <f>$B13 * IFERROR(VLOOKUP("electricity|SO2|Non-fatal heart attacks", US_national_yearly!$D:$AM, 15, FALSE) / VLOOKUP("electricity|SO2|Non-fatal heart attacks", US_national_yearly!$D:$AM, 10, FALSE), 1)</f>
        <v>3.8564280014245459E-5</v>
      </c>
      <c r="H13" s="7">
        <f>$B13 * IFERROR(VLOOKUP("electricity|SO2|Non-fatal heart attacks", US_national_yearly!$D:$AM, 16, FALSE) / VLOOKUP("electricity|SO2|Non-fatal heart attacks", US_national_yearly!$D:$AM, 10, FALSE), 1)</f>
        <v>3.9505156651599186E-5</v>
      </c>
      <c r="I13" s="7">
        <f>$B13 * IFERROR(VLOOKUP("electricity|SO2|Non-fatal heart attacks", US_national_yearly!$D:$AM, 17, FALSE) / VLOOKUP("electricity|SO2|Non-fatal heart attacks", US_national_yearly!$D:$AM, 10, FALSE), 1)</f>
        <v>4.02713929783164E-5</v>
      </c>
      <c r="J13" s="7">
        <f>$B13 * IFERROR(VLOOKUP("electricity|SO2|Non-fatal heart attacks", US_national_yearly!$D:$AM, 18, FALSE) / VLOOKUP("electricity|SO2|Non-fatal heart attacks", US_national_yearly!$D:$AM, 10, FALSE), 1)</f>
        <v>4.1037629305033614E-5</v>
      </c>
      <c r="K13" s="7">
        <f>$B13 * IFERROR(VLOOKUP("electricity|SO2|Non-fatal heart attacks", US_national_yearly!$D:$AM, 19, FALSE) / VLOOKUP("electricity|SO2|Non-fatal heart attacks", US_national_yearly!$D:$AM, 10, FALSE), 1)</f>
        <v>4.1803865631750829E-5</v>
      </c>
      <c r="L13" s="7">
        <f>$B13 * IFERROR(VLOOKUP("electricity|SO2|Non-fatal heart attacks", US_national_yearly!$D:$AM, 20, FALSE) / VLOOKUP("electricity|SO2|Non-fatal heart attacks", US_national_yearly!$D:$AM, 10, FALSE), 1)</f>
        <v>4.2570101958468036E-5</v>
      </c>
      <c r="M13" s="7">
        <f>$B13 * IFERROR(VLOOKUP("electricity|SO2|Non-fatal heart attacks", US_national_yearly!$D:$AM, 21, FALSE) / VLOOKUP("electricity|SO2|Non-fatal heart attacks", US_national_yearly!$D:$AM, 10, FALSE), 1)</f>
        <v>4.3336338285185257E-5</v>
      </c>
      <c r="N13" s="7">
        <f>$B13 * IFERROR(VLOOKUP("electricity|SO2|Non-fatal heart attacks", US_national_yearly!$D:$AM, 22, FALSE) / VLOOKUP("electricity|SO2|Non-fatal heart attacks", US_national_yearly!$D:$AM, 10, FALSE), 1)</f>
        <v>4.3841635069439347E-5</v>
      </c>
      <c r="O13" s="7">
        <f>$B13 * IFERROR(VLOOKUP("electricity|SO2|Non-fatal heart attacks", US_national_yearly!$D:$AM, 23, FALSE) / VLOOKUP("electricity|SO2|Non-fatal heart attacks", US_national_yearly!$D:$AM, 10, FALSE), 1)</f>
        <v>4.434693185369343E-5</v>
      </c>
      <c r="P13" s="7">
        <f>$B13 * IFERROR(VLOOKUP("electricity|SO2|Non-fatal heart attacks", US_national_yearly!$D:$AM, 24, FALSE) / VLOOKUP("electricity|SO2|Non-fatal heart attacks", US_national_yearly!$D:$AM, 10, FALSE), 1)</f>
        <v>4.4852228637947527E-5</v>
      </c>
      <c r="Q13" s="7">
        <f>$B13 * IFERROR(VLOOKUP("electricity|SO2|Non-fatal heart attacks", US_national_yearly!$D:$AM, 25, FALSE) / VLOOKUP("electricity|SO2|Non-fatal heart attacks", US_national_yearly!$D:$AM, 10, FALSE), 1)</f>
        <v>4.5357525422201617E-5</v>
      </c>
      <c r="R13" s="7">
        <f>$B13 * IFERROR(VLOOKUP("electricity|SO2|Non-fatal heart attacks", US_national_yearly!$D:$AM, 26, FALSE) / VLOOKUP("electricity|SO2|Non-fatal heart attacks", US_national_yearly!$D:$AM, 10, FALSE), 1)</f>
        <v>4.5862822206455706E-5</v>
      </c>
      <c r="S13" s="7">
        <f>$B13 * IFERROR(VLOOKUP("electricity|SO2|Non-fatal heart attacks", US_national_yearly!$D:$AM, 27, FALSE) / VLOOKUP("electricity|SO2|Non-fatal heart attacks", US_national_yearly!$D:$AM, 10, FALSE), 1)</f>
        <v>4.6137792691886539E-5</v>
      </c>
      <c r="T13" s="7">
        <f>$B13 * IFERROR(VLOOKUP("electricity|SO2|Non-fatal heart attacks", US_national_yearly!$D:$AM, 28, FALSE) / VLOOKUP("electricity|SO2|Non-fatal heart attacks", US_national_yearly!$D:$AM, 10, FALSE), 1)</f>
        <v>4.6412763177317372E-5</v>
      </c>
      <c r="U13" s="7">
        <f>$B13 * IFERROR(VLOOKUP("electricity|SO2|Non-fatal heart attacks", US_national_yearly!$D:$AM, 29, FALSE) / VLOOKUP("electricity|SO2|Non-fatal heart attacks", US_national_yearly!$D:$AM, 10, FALSE), 1)</f>
        <v>4.6687733662748211E-5</v>
      </c>
      <c r="V13" s="7">
        <f>$B13 * IFERROR(VLOOKUP("electricity|SO2|Non-fatal heart attacks", US_national_yearly!$D:$AM, 30, FALSE) / VLOOKUP("electricity|SO2|Non-fatal heart attacks", US_national_yearly!$D:$AM, 10, FALSE), 1)</f>
        <v>4.696270414817903E-5</v>
      </c>
      <c r="W13" s="7">
        <f>$B13 * IFERROR(VLOOKUP("electricity|SO2|Non-fatal heart attacks", US_national_yearly!$D:$AM, 31, FALSE) / VLOOKUP("electricity|SO2|Non-fatal heart attacks", US_national_yearly!$D:$AM, 10, FALSE), 1)</f>
        <v>4.7237674633609863E-5</v>
      </c>
      <c r="X13" s="7">
        <f>$B13 * IFERROR(VLOOKUP("electricity|SO2|Non-fatal heart attacks", US_national_yearly!$D:$AM, 32, FALSE) / VLOOKUP("electricity|SO2|Non-fatal heart attacks", US_national_yearly!$D:$AM, 10, FALSE), 1)</f>
        <v>4.7448897871621179E-5</v>
      </c>
      <c r="Y13" s="7">
        <f>$B13 * IFERROR(VLOOKUP("electricity|SO2|Non-fatal heart attacks", US_national_yearly!$D:$AM, 33, FALSE) / VLOOKUP("electricity|SO2|Non-fatal heart attacks", US_national_yearly!$D:$AM, 10, FALSE), 1)</f>
        <v>4.7660121109632503E-5</v>
      </c>
      <c r="Z13" s="7">
        <f>$B13 * IFERROR(VLOOKUP("electricity|SO2|Non-fatal heart attacks", US_national_yearly!$D:$AM, 34, FALSE) / VLOOKUP("electricity|SO2|Non-fatal heart attacks", US_national_yearly!$D:$AM, 10, FALSE), 1)</f>
        <v>4.7871344347643806E-5</v>
      </c>
      <c r="AA13" s="7">
        <f>$B13 * IFERROR(VLOOKUP("electricity|SO2|Non-fatal heart attacks", US_national_yearly!$D:$AM, 35, FALSE) / VLOOKUP("electricity|SO2|Non-fatal heart attacks", US_national_yearly!$D:$AM, 10, FALSE), 1)</f>
        <v>4.8082567585655116E-5</v>
      </c>
      <c r="AB13" s="7">
        <f>$B13 * IFERROR(VLOOKUP("electricity|SO2|Non-fatal heart attacks", US_national_yearly!$D:$AM, 36, FALSE) / VLOOKUP("electricity|SO2|Non-fatal heart attacks", US_national_yearly!$D:$AM, 10, FALSE), 1)</f>
        <v>4.8293790823666433E-5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2.4270783706240653E-2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2.4331775024641733E-2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2.4392766343042809E-2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2.4453757661443896E-2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2.4514748979844968E-2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2.4602868249009986E-2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2.4690987518175E-2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2.4842118849200023E-2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2.4993250180225048E-2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2.5144381511250067E-2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2.52955128422751E-2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2.5446644173300118E-2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2.5654773846656015E-2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2.5862903520011905E-2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2.6071033193367794E-2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2.6279162866723691E-2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2.6487292540079581E-2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2.6700658268702736E-2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2.6914023997325887E-2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2.7127389725949035E-2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2.7340755454572187E-2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2.7554121183195342E-2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2.7741859640045895E-2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2.7929598096896446E-2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2.8117336553746996E-2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2.8305075010597553E-2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2.8492813467448103E-2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4.1212781751563815E-3</v>
      </c>
      <c r="C15" s="7">
        <f>$B15 * IFERROR(VLOOKUP("electricity|SO2|Work loss days", US_national_yearly!$D:$AM, 11, FALSE) / VLOOKUP("electricity|SO2|Work loss days", US_national_yearly!$D:$AM, 10, FALSE), 1)</f>
        <v>4.1346229985280624E-3</v>
      </c>
      <c r="D15" s="7">
        <f>$B15 * IFERROR(VLOOKUP("electricity|SO2|Work loss days", US_national_yearly!$D:$AM, 12, FALSE) / VLOOKUP("electricity|SO2|Work loss days", US_national_yearly!$D:$AM, 10, FALSE), 1)</f>
        <v>4.1479678218997442E-3</v>
      </c>
      <c r="E15" s="7">
        <f>$B15 * IFERROR(VLOOKUP("electricity|SO2|Work loss days", US_national_yearly!$D:$AM, 13, FALSE) / VLOOKUP("electricity|SO2|Work loss days", US_national_yearly!$D:$AM, 10, FALSE), 1)</f>
        <v>4.161312645271426E-3</v>
      </c>
      <c r="F15" s="7">
        <f>$B15 * IFERROR(VLOOKUP("electricity|SO2|Work loss days", US_national_yearly!$D:$AM, 14, FALSE) / VLOOKUP("electricity|SO2|Work loss days", US_national_yearly!$D:$AM, 10, FALSE), 1)</f>
        <v>4.174657468643107E-3</v>
      </c>
      <c r="G15" s="7">
        <f>$B15 * IFERROR(VLOOKUP("electricity|SO2|Work loss days", US_national_yearly!$D:$AM, 15, FALSE) / VLOOKUP("electricity|SO2|Work loss days", US_national_yearly!$D:$AM, 10, FALSE), 1)</f>
        <v>4.1917530142801789E-3</v>
      </c>
      <c r="H15" s="7">
        <f>$B15 * IFERROR(VLOOKUP("electricity|SO2|Work loss days", US_national_yearly!$D:$AM, 16, FALSE) / VLOOKUP("electricity|SO2|Work loss days", US_national_yearly!$D:$AM, 10, FALSE), 1)</f>
        <v>4.20884855991725E-3</v>
      </c>
      <c r="I15" s="7">
        <f>$B15 * IFERROR(VLOOKUP("electricity|SO2|Work loss days", US_national_yearly!$D:$AM, 17, FALSE) / VLOOKUP("electricity|SO2|Work loss days", US_national_yearly!$D:$AM, 10, FALSE), 1)</f>
        <v>4.2338613541172297E-3</v>
      </c>
      <c r="J15" s="7">
        <f>$B15 * IFERROR(VLOOKUP("electricity|SO2|Work loss days", US_national_yearly!$D:$AM, 18, FALSE) / VLOOKUP("electricity|SO2|Work loss days", US_national_yearly!$D:$AM, 10, FALSE), 1)</f>
        <v>4.2588741483172085E-3</v>
      </c>
      <c r="K15" s="7">
        <f>$B15 * IFERROR(VLOOKUP("electricity|SO2|Work loss days", US_national_yearly!$D:$AM, 19, FALSE) / VLOOKUP("electricity|SO2|Work loss days", US_national_yearly!$D:$AM, 10, FALSE), 1)</f>
        <v>4.2838869425171891E-3</v>
      </c>
      <c r="L15" s="7">
        <f>$B15 * IFERROR(VLOOKUP("electricity|SO2|Work loss days", US_national_yearly!$D:$AM, 20, FALSE) / VLOOKUP("electricity|SO2|Work loss days", US_national_yearly!$D:$AM, 10, FALSE), 1)</f>
        <v>4.3088997367171679E-3</v>
      </c>
      <c r="M15" s="7">
        <f>$B15 * IFERROR(VLOOKUP("electricity|SO2|Work loss days", US_national_yearly!$D:$AM, 21, FALSE) / VLOOKUP("electricity|SO2|Work loss days", US_national_yearly!$D:$AM, 10, FALSE), 1)</f>
        <v>4.3339125309171484E-3</v>
      </c>
      <c r="N15" s="7">
        <f>$B15 * IFERROR(VLOOKUP("electricity|SO2|Work loss days", US_national_yearly!$D:$AM, 22, FALSE) / VLOOKUP("electricity|SO2|Work loss days", US_national_yearly!$D:$AM, 10, FALSE), 1)</f>
        <v>4.3655599361179902E-3</v>
      </c>
      <c r="O15" s="7">
        <f>$B15 * IFERROR(VLOOKUP("electricity|SO2|Work loss days", US_national_yearly!$D:$AM, 23, FALSE) / VLOOKUP("electricity|SO2|Work loss days", US_national_yearly!$D:$AM, 10, FALSE), 1)</f>
        <v>4.3972073413188328E-3</v>
      </c>
      <c r="P15" s="7">
        <f>$B15 * IFERROR(VLOOKUP("electricity|SO2|Work loss days", US_national_yearly!$D:$AM, 24, FALSE) / VLOOKUP("electricity|SO2|Work loss days", US_national_yearly!$D:$AM, 10, FALSE), 1)</f>
        <v>4.4288547465196762E-3</v>
      </c>
      <c r="Q15" s="7">
        <f>$B15 * IFERROR(VLOOKUP("electricity|SO2|Work loss days", US_national_yearly!$D:$AM, 25, FALSE) / VLOOKUP("electricity|SO2|Work loss days", US_national_yearly!$D:$AM, 10, FALSE), 1)</f>
        <v>4.460502151720518E-3</v>
      </c>
      <c r="R15" s="7">
        <f>$B15 * IFERROR(VLOOKUP("electricity|SO2|Work loss days", US_national_yearly!$D:$AM, 26, FALSE) / VLOOKUP("electricity|SO2|Work loss days", US_national_yearly!$D:$AM, 10, FALSE), 1)</f>
        <v>4.4921495569213606E-3</v>
      </c>
      <c r="S15" s="7">
        <f>$B15 * IFERROR(VLOOKUP("electricity|SO2|Work loss days", US_national_yearly!$D:$AM, 27, FALSE) / VLOOKUP("electricity|SO2|Work loss days", US_national_yearly!$D:$AM, 10, FALSE), 1)</f>
        <v>4.5276292513944192E-3</v>
      </c>
      <c r="T15" s="7">
        <f>$B15 * IFERROR(VLOOKUP("electricity|SO2|Work loss days", US_national_yearly!$D:$AM, 28, FALSE) / VLOOKUP("electricity|SO2|Work loss days", US_national_yearly!$D:$AM, 10, FALSE), 1)</f>
        <v>4.5631089458674787E-3</v>
      </c>
      <c r="U15" s="7">
        <f>$B15 * IFERROR(VLOOKUP("electricity|SO2|Work loss days", US_national_yearly!$D:$AM, 29, FALSE) / VLOOKUP("electricity|SO2|Work loss days", US_national_yearly!$D:$AM, 10, FALSE), 1)</f>
        <v>4.5985886403405391E-3</v>
      </c>
      <c r="V15" s="7">
        <f>$B15 * IFERROR(VLOOKUP("electricity|SO2|Work loss days", US_national_yearly!$D:$AM, 30, FALSE) / VLOOKUP("electricity|SO2|Work loss days", US_national_yearly!$D:$AM, 10, FALSE), 1)</f>
        <v>4.6340683348135986E-3</v>
      </c>
      <c r="W15" s="7">
        <f>$B15 * IFERROR(VLOOKUP("electricity|SO2|Work loss days", US_national_yearly!$D:$AM, 31, FALSE) / VLOOKUP("electricity|SO2|Work loss days", US_national_yearly!$D:$AM, 10, FALSE), 1)</f>
        <v>4.6695480292866581E-3</v>
      </c>
      <c r="X15" s="7">
        <f>$B15 * IFERROR(VLOOKUP("electricity|SO2|Work loss days", US_national_yearly!$D:$AM, 32, FALSE) / VLOOKUP("electricity|SO2|Work loss days", US_national_yearly!$D:$AM, 10, FALSE), 1)</f>
        <v>4.7015117248567053E-3</v>
      </c>
      <c r="Y15" s="7">
        <f>$B15 * IFERROR(VLOOKUP("electricity|SO2|Work loss days", US_national_yearly!$D:$AM, 33, FALSE) / VLOOKUP("electricity|SO2|Work loss days", US_national_yearly!$D:$AM, 10, FALSE), 1)</f>
        <v>4.7334754204267524E-3</v>
      </c>
      <c r="Z15" s="7">
        <f>$B15 * IFERROR(VLOOKUP("electricity|SO2|Work loss days", US_national_yearly!$D:$AM, 34, FALSE) / VLOOKUP("electricity|SO2|Work loss days", US_national_yearly!$D:$AM, 10, FALSE), 1)</f>
        <v>4.7654391159967979E-3</v>
      </c>
      <c r="AA15" s="7">
        <f>$B15 * IFERROR(VLOOKUP("electricity|SO2|Work loss days", US_national_yearly!$D:$AM, 35, FALSE) / VLOOKUP("electricity|SO2|Work loss days", US_national_yearly!$D:$AM, 10, FALSE), 1)</f>
        <v>4.7974028115668451E-3</v>
      </c>
      <c r="AB15" s="7">
        <f>$B15 * IFERROR(VLOOKUP("electricity|SO2|Work loss days", US_national_yearly!$D:$AM, 36, FALSE) / VLOOKUP("electricity|SO2|Work loss days", US_national_yearly!$D:$AM, 10, FALSE), 1)</f>
        <v>4.8293665071368922E-3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6.5697865327270533E-6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6.7688693275058539E-6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6.9679521222846537E-6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7.1670349170634551E-6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7.3661177118422557E-6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7.5580208401448203E-6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7.7499239684473865E-6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7.9160622863705279E-6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8.0822006042936709E-6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8.248338922216814E-6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8.4144772401399554E-6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8.5806155580630967E-6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8.6940045171015519E-6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8.8073934761400054E-6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8.9207824351784623E-6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9.0341713942169159E-6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9.1475603532553711E-6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9.209722257814289E-6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9.271884162373207E-6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9.334046066932125E-6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9.3962079714910412E-6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9.4583698760499592E-6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9.5012794816977599E-6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9.5441890873455572E-6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9.5870986929933562E-6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9.6300082986411552E-6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9.6729179042889542E-6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3.0548984123790011E-3</v>
      </c>
      <c r="C2" s="7">
        <f>$B2 * IFERROR(VLOOKUP("buildings|PM25|Premature mortality", US_national_yearly!$D:$AM, 11, FALSE) / VLOOKUP("buildings|PM25|Premature mortality", US_national_yearly!$D:$AM, 10, FALSE), 1)</f>
        <v>3.0927998906122617E-3</v>
      </c>
      <c r="D2" s="7">
        <f>$B2 * IFERROR(VLOOKUP("buildings|PM25|Premature mortality", US_national_yearly!$D:$AM, 12, FALSE) / VLOOKUP("buildings|PM25|Premature mortality", US_national_yearly!$D:$AM, 10, FALSE), 1)</f>
        <v>3.1307013688455223E-3</v>
      </c>
      <c r="E2" s="7">
        <f>$B2 * IFERROR(VLOOKUP("buildings|PM25|Premature mortality", US_national_yearly!$D:$AM, 13, FALSE) / VLOOKUP("buildings|PM25|Premature mortality", US_national_yearly!$D:$AM, 10, FALSE), 1)</f>
        <v>3.1686028470787829E-3</v>
      </c>
      <c r="F2" s="7">
        <f>$B2 * IFERROR(VLOOKUP("buildings|PM25|Premature mortality", US_national_yearly!$D:$AM, 14, FALSE) / VLOOKUP("buildings|PM25|Premature mortality", US_national_yearly!$D:$AM, 10, FALSE), 1)</f>
        <v>3.206504325312044E-3</v>
      </c>
      <c r="G2" s="7">
        <f>$B2 * IFERROR(VLOOKUP("buildings|PM25|Premature mortality", US_national_yearly!$D:$AM, 15, FALSE) / VLOOKUP("buildings|PM25|Premature mortality", US_national_yearly!$D:$AM, 10, FALSE), 1)</f>
        <v>3.2803062759291595E-3</v>
      </c>
      <c r="H2" s="7">
        <f>$B2 * IFERROR(VLOOKUP("buildings|PM25|Premature mortality", US_national_yearly!$D:$AM, 16, FALSE) / VLOOKUP("buildings|PM25|Premature mortality", US_national_yearly!$D:$AM, 10, FALSE), 1)</f>
        <v>3.354108226546275E-3</v>
      </c>
      <c r="I2" s="7">
        <f>$B2 * IFERROR(VLOOKUP("buildings|PM25|Premature mortality", US_national_yearly!$D:$AM, 17, FALSE) / VLOOKUP("buildings|PM25|Premature mortality", US_national_yearly!$D:$AM, 10, FALSE), 1)</f>
        <v>3.4026464982997318E-3</v>
      </c>
      <c r="J2" s="7">
        <f>$B2 * IFERROR(VLOOKUP("buildings|PM25|Premature mortality", US_national_yearly!$D:$AM, 18, FALSE) / VLOOKUP("buildings|PM25|Premature mortality", US_national_yearly!$D:$AM, 10, FALSE), 1)</f>
        <v>3.4511847700531883E-3</v>
      </c>
      <c r="K2" s="7">
        <f>$B2 * IFERROR(VLOOKUP("buildings|PM25|Premature mortality", US_national_yearly!$D:$AM, 19, FALSE) / VLOOKUP("buildings|PM25|Premature mortality", US_national_yearly!$D:$AM, 10, FALSE), 1)</f>
        <v>3.4997230418066451E-3</v>
      </c>
      <c r="L2" s="7">
        <f>$B2 * IFERROR(VLOOKUP("buildings|PM25|Premature mortality", US_national_yearly!$D:$AM, 20, FALSE) / VLOOKUP("buildings|PM25|Premature mortality", US_national_yearly!$D:$AM, 10, FALSE), 1)</f>
        <v>3.548261313560102E-3</v>
      </c>
      <c r="M2" s="7">
        <f>$B2 * IFERROR(VLOOKUP("buildings|PM25|Premature mortality", US_national_yearly!$D:$AM, 21, FALSE) / VLOOKUP("buildings|PM25|Premature mortality", US_national_yearly!$D:$AM, 10, FALSE), 1)</f>
        <v>3.5967995853135584E-3</v>
      </c>
      <c r="N2" s="7">
        <f>$B2 * IFERROR(VLOOKUP("buildings|PM25|Premature mortality", US_national_yearly!$D:$AM, 22, FALSE) / VLOOKUP("buildings|PM25|Premature mortality", US_national_yearly!$D:$AM, 10, FALSE), 1)</f>
        <v>3.634543486233354E-3</v>
      </c>
      <c r="O2" s="7">
        <f>$B2 * IFERROR(VLOOKUP("buildings|PM25|Premature mortality", US_national_yearly!$D:$AM, 23, FALSE) / VLOOKUP("buildings|PM25|Premature mortality", US_national_yearly!$D:$AM, 10, FALSE), 1)</f>
        <v>3.67228738715315E-3</v>
      </c>
      <c r="P2" s="7">
        <f>$B2 * IFERROR(VLOOKUP("buildings|PM25|Premature mortality", US_national_yearly!$D:$AM, 24, FALSE) / VLOOKUP("buildings|PM25|Premature mortality", US_national_yearly!$D:$AM, 10, FALSE), 1)</f>
        <v>3.7100312880729452E-3</v>
      </c>
      <c r="Q2" s="7">
        <f>$B2 * IFERROR(VLOOKUP("buildings|PM25|Premature mortality", US_national_yearly!$D:$AM, 25, FALSE) / VLOOKUP("buildings|PM25|Premature mortality", US_national_yearly!$D:$AM, 10, FALSE), 1)</f>
        <v>3.7477751889927421E-3</v>
      </c>
      <c r="R2" s="7">
        <f>$B2 * IFERROR(VLOOKUP("buildings|PM25|Premature mortality", US_national_yearly!$D:$AM, 26, FALSE) / VLOOKUP("buildings|PM25|Premature mortality", US_national_yearly!$D:$AM, 10, FALSE), 1)</f>
        <v>3.7855190899125373E-3</v>
      </c>
      <c r="S2" s="7">
        <f>$B2 * IFERROR(VLOOKUP("buildings|PM25|Premature mortality", US_national_yearly!$D:$AM, 27, FALSE) / VLOOKUP("buildings|PM25|Premature mortality", US_national_yearly!$D:$AM, 10, FALSE), 1)</f>
        <v>3.8055803481569627E-3</v>
      </c>
      <c r="T2" s="7">
        <f>$B2 * IFERROR(VLOOKUP("buildings|PM25|Premature mortality", US_national_yearly!$D:$AM, 28, FALSE) / VLOOKUP("buildings|PM25|Premature mortality", US_national_yearly!$D:$AM, 10, FALSE), 1)</f>
        <v>3.8256416064013886E-3</v>
      </c>
      <c r="U2" s="7">
        <f>$B2 * IFERROR(VLOOKUP("buildings|PM25|Premature mortality", US_national_yearly!$D:$AM, 29, FALSE) / VLOOKUP("buildings|PM25|Premature mortality", US_national_yearly!$D:$AM, 10, FALSE), 1)</f>
        <v>3.8457028646458149E-3</v>
      </c>
      <c r="V2" s="7">
        <f>$B2 * IFERROR(VLOOKUP("buildings|PM25|Premature mortality", US_national_yearly!$D:$AM, 30, FALSE) / VLOOKUP("buildings|PM25|Premature mortality", US_national_yearly!$D:$AM, 10, FALSE), 1)</f>
        <v>3.8657641228902408E-3</v>
      </c>
      <c r="W2" s="7">
        <f>$B2 * IFERROR(VLOOKUP("buildings|PM25|Premature mortality", US_national_yearly!$D:$AM, 31, FALSE) / VLOOKUP("buildings|PM25|Premature mortality", US_national_yearly!$D:$AM, 10, FALSE), 1)</f>
        <v>3.8858253811346662E-3</v>
      </c>
      <c r="X2" s="7">
        <f>$B2 * IFERROR(VLOOKUP("buildings|PM25|Premature mortality", US_national_yearly!$D:$AM, 32, FALSE) / VLOOKUP("buildings|PM25|Premature mortality", US_national_yearly!$D:$AM, 10, FALSE), 1)</f>
        <v>3.8894262159344432E-3</v>
      </c>
      <c r="Y2" s="7">
        <f>$B2 * IFERROR(VLOOKUP("buildings|PM25|Premature mortality", US_national_yearly!$D:$AM, 33, FALSE) / VLOOKUP("buildings|PM25|Premature mortality", US_national_yearly!$D:$AM, 10, FALSE), 1)</f>
        <v>3.8930270507342196E-3</v>
      </c>
      <c r="Z2" s="7">
        <f>$B2 * IFERROR(VLOOKUP("buildings|PM25|Premature mortality", US_national_yearly!$D:$AM, 34, FALSE) / VLOOKUP("buildings|PM25|Premature mortality", US_national_yearly!$D:$AM, 10, FALSE), 1)</f>
        <v>3.896627885533997E-3</v>
      </c>
      <c r="AA2" s="7">
        <f>$B2 * IFERROR(VLOOKUP("buildings|PM25|Premature mortality", US_national_yearly!$D:$AM, 35, FALSE) / VLOOKUP("buildings|PM25|Premature mortality", US_national_yearly!$D:$AM, 10, FALSE), 1)</f>
        <v>3.9002287203337739E-3</v>
      </c>
      <c r="AB2" s="7">
        <f>$B2 * IFERROR(VLOOKUP("buildings|PM25|Premature mortality", US_national_yearly!$D:$AM, 36, FALSE) / VLOOKUP("buildings|PM25|Premature mortality", US_national_yearly!$D:$AM, 10, FALSE), 1)</f>
        <v>3.9038295551335504E-3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1.1895883704486227E-5</v>
      </c>
      <c r="C3" s="7">
        <f>$B3 * IFERROR(VLOOKUP("buildings|PM25|Infant mortality", US_national_yearly!$D:$AM, 11, FALSE) / VLOOKUP("buildings|PM25|Infant mortality", US_national_yearly!$D:$AM, 10, FALSE), 1)</f>
        <v>1.1792846108208019E-5</v>
      </c>
      <c r="D3" s="7">
        <f>$B3 * IFERROR(VLOOKUP("buildings|PM25|Infant mortality", US_national_yearly!$D:$AM, 12, FALSE) / VLOOKUP("buildings|PM25|Infant mortality", US_national_yearly!$D:$AM, 10, FALSE), 1)</f>
        <v>1.168980851192981E-5</v>
      </c>
      <c r="E3" s="7">
        <f>$B3 * IFERROR(VLOOKUP("buildings|PM25|Infant mortality", US_national_yearly!$D:$AM, 13, FALSE) / VLOOKUP("buildings|PM25|Infant mortality", US_national_yearly!$D:$AM, 10, FALSE), 1)</f>
        <v>1.1586770915651602E-5</v>
      </c>
      <c r="F3" s="7">
        <f>$B3 * IFERROR(VLOOKUP("buildings|PM25|Infant mortality", US_national_yearly!$D:$AM, 14, FALSE) / VLOOKUP("buildings|PM25|Infant mortality", US_national_yearly!$D:$AM, 10, FALSE), 1)</f>
        <v>1.1483733319373395E-5</v>
      </c>
      <c r="G3" s="7">
        <f>$B3 * IFERROR(VLOOKUP("buildings|PM25|Infant mortality", US_national_yearly!$D:$AM, 15, FALSE) / VLOOKUP("buildings|PM25|Infant mortality", US_national_yearly!$D:$AM, 10, FALSE), 1)</f>
        <v>7.636266037010009E-6</v>
      </c>
      <c r="H3" s="7">
        <f>$B3 * IFERROR(VLOOKUP("buildings|PM25|Infant mortality", US_national_yearly!$D:$AM, 16, FALSE) / VLOOKUP("buildings|PM25|Infant mortality", US_national_yearly!$D:$AM, 10, FALSE), 1)</f>
        <v>3.7887987546466253E-6</v>
      </c>
      <c r="I3" s="7">
        <f>$B3 * IFERROR(VLOOKUP("buildings|PM25|Infant mortality", US_national_yearly!$D:$AM, 17, FALSE) / VLOOKUP("buildings|PM25|Infant mortality", US_national_yearly!$D:$AM, 10, FALSE), 1)</f>
        <v>3.7641094051077399E-6</v>
      </c>
      <c r="J3" s="7">
        <f>$B3 * IFERROR(VLOOKUP("buildings|PM25|Infant mortality", US_national_yearly!$D:$AM, 18, FALSE) / VLOOKUP("buildings|PM25|Infant mortality", US_national_yearly!$D:$AM, 10, FALSE), 1)</f>
        <v>3.7394200555688548E-6</v>
      </c>
      <c r="K3" s="7">
        <f>$B3 * IFERROR(VLOOKUP("buildings|PM25|Infant mortality", US_national_yearly!$D:$AM, 19, FALSE) / VLOOKUP("buildings|PM25|Infant mortality", US_national_yearly!$D:$AM, 10, FALSE), 1)</f>
        <v>3.7147307060299697E-6</v>
      </c>
      <c r="L3" s="7">
        <f>$B3 * IFERROR(VLOOKUP("buildings|PM25|Infant mortality", US_national_yearly!$D:$AM, 20, FALSE) / VLOOKUP("buildings|PM25|Infant mortality", US_national_yearly!$D:$AM, 10, FALSE), 1)</f>
        <v>3.6900413564910846E-6</v>
      </c>
      <c r="M3" s="7">
        <f>$B3 * IFERROR(VLOOKUP("buildings|PM25|Infant mortality", US_national_yearly!$D:$AM, 21, FALSE) / VLOOKUP("buildings|PM25|Infant mortality", US_national_yearly!$D:$AM, 10, FALSE), 1)</f>
        <v>3.6653520069521996E-6</v>
      </c>
      <c r="N3" s="7">
        <f>$B3 * IFERROR(VLOOKUP("buildings|PM25|Infant mortality", US_national_yearly!$D:$AM, 22, FALSE) / VLOOKUP("buildings|PM25|Infant mortality", US_national_yearly!$D:$AM, 10, FALSE), 1)</f>
        <v>3.6499039869032254E-6</v>
      </c>
      <c r="O3" s="7">
        <f>$B3 * IFERROR(VLOOKUP("buildings|PM25|Infant mortality", US_national_yearly!$D:$AM, 23, FALSE) / VLOOKUP("buildings|PM25|Infant mortality", US_national_yearly!$D:$AM, 10, FALSE), 1)</f>
        <v>3.6344559668542516E-6</v>
      </c>
      <c r="P3" s="7">
        <f>$B3 * IFERROR(VLOOKUP("buildings|PM25|Infant mortality", US_national_yearly!$D:$AM, 24, FALSE) / VLOOKUP("buildings|PM25|Infant mortality", US_national_yearly!$D:$AM, 10, FALSE), 1)</f>
        <v>3.6190079468052774E-6</v>
      </c>
      <c r="Q3" s="7">
        <f>$B3 * IFERROR(VLOOKUP("buildings|PM25|Infant mortality", US_national_yearly!$D:$AM, 25, FALSE) / VLOOKUP("buildings|PM25|Infant mortality", US_national_yearly!$D:$AM, 10, FALSE), 1)</f>
        <v>3.6035599267563037E-6</v>
      </c>
      <c r="R3" s="7">
        <f>$B3 * IFERROR(VLOOKUP("buildings|PM25|Infant mortality", US_national_yearly!$D:$AM, 26, FALSE) / VLOOKUP("buildings|PM25|Infant mortality", US_national_yearly!$D:$AM, 10, FALSE), 1)</f>
        <v>3.5881119067073295E-6</v>
      </c>
      <c r="S3" s="7">
        <f>$B3 * IFERROR(VLOOKUP("buildings|PM25|Infant mortality", US_national_yearly!$D:$AM, 27, FALSE) / VLOOKUP("buildings|PM25|Infant mortality", US_national_yearly!$D:$AM, 10, FALSE), 1)</f>
        <v>3.5688239914304426E-6</v>
      </c>
      <c r="T3" s="7">
        <f>$B3 * IFERROR(VLOOKUP("buildings|PM25|Infant mortality", US_national_yearly!$D:$AM, 28, FALSE) / VLOOKUP("buildings|PM25|Infant mortality", US_national_yearly!$D:$AM, 10, FALSE), 1)</f>
        <v>3.5495360761535561E-6</v>
      </c>
      <c r="U3" s="7">
        <f>$B3 * IFERROR(VLOOKUP("buildings|PM25|Infant mortality", US_national_yearly!$D:$AM, 29, FALSE) / VLOOKUP("buildings|PM25|Infant mortality", US_national_yearly!$D:$AM, 10, FALSE), 1)</f>
        <v>3.5302481608766684E-6</v>
      </c>
      <c r="V3" s="7">
        <f>$B3 * IFERROR(VLOOKUP("buildings|PM25|Infant mortality", US_national_yearly!$D:$AM, 30, FALSE) / VLOOKUP("buildings|PM25|Infant mortality", US_national_yearly!$D:$AM, 10, FALSE), 1)</f>
        <v>3.5109602455997819E-6</v>
      </c>
      <c r="W3" s="7">
        <f>$B3 * IFERROR(VLOOKUP("buildings|PM25|Infant mortality", US_national_yearly!$D:$AM, 31, FALSE) / VLOOKUP("buildings|PM25|Infant mortality", US_national_yearly!$D:$AM, 10, FALSE), 1)</f>
        <v>3.4916723303228951E-6</v>
      </c>
      <c r="X3" s="7">
        <f>$B3 * IFERROR(VLOOKUP("buildings|PM25|Infant mortality", US_national_yearly!$D:$AM, 32, FALSE) / VLOOKUP("buildings|PM25|Infant mortality", US_national_yearly!$D:$AM, 10, FALSE), 1)</f>
        <v>3.470906406134302E-6</v>
      </c>
      <c r="Y3" s="7">
        <f>$B3 * IFERROR(VLOOKUP("buildings|PM25|Infant mortality", US_national_yearly!$D:$AM, 33, FALSE) / VLOOKUP("buildings|PM25|Infant mortality", US_national_yearly!$D:$AM, 10, FALSE), 1)</f>
        <v>3.4501404819457093E-6</v>
      </c>
      <c r="Z3" s="7">
        <f>$B3 * IFERROR(VLOOKUP("buildings|PM25|Infant mortality", US_national_yearly!$D:$AM, 34, FALSE) / VLOOKUP("buildings|PM25|Infant mortality", US_national_yearly!$D:$AM, 10, FALSE), 1)</f>
        <v>3.4293745577571158E-6</v>
      </c>
      <c r="AA3" s="7">
        <f>$B3 * IFERROR(VLOOKUP("buildings|PM25|Infant mortality", US_national_yearly!$D:$AM, 35, FALSE) / VLOOKUP("buildings|PM25|Infant mortality", US_national_yearly!$D:$AM, 10, FALSE), 1)</f>
        <v>3.4086086335685227E-6</v>
      </c>
      <c r="AB3" s="7">
        <f>$B3 * IFERROR(VLOOKUP("buildings|PM25|Infant mortality", US_national_yearly!$D:$AM, 36, FALSE) / VLOOKUP("buildings|PM25|Infant mortality", US_national_yearly!$D:$AM, 10, FALSE), 1)</f>
        <v>3.3878427093799301E-6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1.0704094456751044E-2</v>
      </c>
      <c r="C6" s="7">
        <f>$B6 * IFERROR(VLOOKUP("buildings|PM25|Asthma symptoms cough", US_national_yearly!$D:$AM, 11, FALSE) / VLOOKUP("buildings|PM25|Asthma symptoms cough", US_national_yearly!$D:$AM, 10, FALSE), 1)</f>
        <v>1.0704094456751044E-2</v>
      </c>
      <c r="D6" s="7">
        <f>$B6 * IFERROR(VLOOKUP("buildings|PM25|Asthma symptoms cough", US_national_yearly!$D:$AM, 12, FALSE) / VLOOKUP("buildings|PM25|Asthma symptoms cough", US_national_yearly!$D:$AM, 10, FALSE), 1)</f>
        <v>1.0704094456751044E-2</v>
      </c>
      <c r="E6" s="7">
        <f>$B6 * IFERROR(VLOOKUP("buildings|PM25|Asthma symptoms cough", US_national_yearly!$D:$AM, 13, FALSE) / VLOOKUP("buildings|PM25|Asthma symptoms cough", US_national_yearly!$D:$AM, 10, FALSE), 1)</f>
        <v>1.0704094456751044E-2</v>
      </c>
      <c r="F6" s="7">
        <f>$B6 * IFERROR(VLOOKUP("buildings|PM25|Asthma symptoms cough", US_national_yearly!$D:$AM, 14, FALSE) / VLOOKUP("buildings|PM25|Asthma symptoms cough", US_national_yearly!$D:$AM, 10, FALSE), 1)</f>
        <v>1.0704094456751044E-2</v>
      </c>
      <c r="G6" s="7">
        <f>$B6 * IFERROR(VLOOKUP("buildings|PM25|Asthma symptoms cough", US_national_yearly!$D:$AM, 15, FALSE) / VLOOKUP("buildings|PM25|Asthma symptoms cough", US_national_yearly!$D:$AM, 10, FALSE), 1)</f>
        <v>1.0704094456751044E-2</v>
      </c>
      <c r="H6" s="7">
        <f>$B6 * IFERROR(VLOOKUP("buildings|PM25|Asthma symptoms cough", US_national_yearly!$D:$AM, 16, FALSE) / VLOOKUP("buildings|PM25|Asthma symptoms cough", US_national_yearly!$D:$AM, 10, FALSE), 1)</f>
        <v>1.0704094456751044E-2</v>
      </c>
      <c r="I6" s="7">
        <f>$B6 * IFERROR(VLOOKUP("buildings|PM25|Asthma symptoms cough", US_national_yearly!$D:$AM, 17, FALSE) / VLOOKUP("buildings|PM25|Asthma symptoms cough", US_national_yearly!$D:$AM, 10, FALSE), 1)</f>
        <v>1.0704094456751044E-2</v>
      </c>
      <c r="J6" s="7">
        <f>$B6 * IFERROR(VLOOKUP("buildings|PM25|Asthma symptoms cough", US_national_yearly!$D:$AM, 18, FALSE) / VLOOKUP("buildings|PM25|Asthma symptoms cough", US_national_yearly!$D:$AM, 10, FALSE), 1)</f>
        <v>1.0704094456751044E-2</v>
      </c>
      <c r="K6" s="7">
        <f>$B6 * IFERROR(VLOOKUP("buildings|PM25|Asthma symptoms cough", US_national_yearly!$D:$AM, 19, FALSE) / VLOOKUP("buildings|PM25|Asthma symptoms cough", US_national_yearly!$D:$AM, 10, FALSE), 1)</f>
        <v>1.0704094456751044E-2</v>
      </c>
      <c r="L6" s="7">
        <f>$B6 * IFERROR(VLOOKUP("buildings|PM25|Asthma symptoms cough", US_national_yearly!$D:$AM, 20, FALSE) / VLOOKUP("buildings|PM25|Asthma symptoms cough", US_national_yearly!$D:$AM, 10, FALSE), 1)</f>
        <v>1.0704094456751044E-2</v>
      </c>
      <c r="M6" s="7">
        <f>$B6 * IFERROR(VLOOKUP("buildings|PM25|Asthma symptoms cough", US_national_yearly!$D:$AM, 21, FALSE) / VLOOKUP("buildings|PM25|Asthma symptoms cough", US_national_yearly!$D:$AM, 10, FALSE), 1)</f>
        <v>1.0704094456751044E-2</v>
      </c>
      <c r="N6" s="7">
        <f>$B6 * IFERROR(VLOOKUP("buildings|PM25|Asthma symptoms cough", US_national_yearly!$D:$AM, 22, FALSE) / VLOOKUP("buildings|PM25|Asthma symptoms cough", US_national_yearly!$D:$AM, 10, FALSE), 1)</f>
        <v>1.0704094456751044E-2</v>
      </c>
      <c r="O6" s="7">
        <f>$B6 * IFERROR(VLOOKUP("buildings|PM25|Asthma symptoms cough", US_national_yearly!$D:$AM, 23, FALSE) / VLOOKUP("buildings|PM25|Asthma symptoms cough", US_national_yearly!$D:$AM, 10, FALSE), 1)</f>
        <v>1.0704094456751044E-2</v>
      </c>
      <c r="P6" s="7">
        <f>$B6 * IFERROR(VLOOKUP("buildings|PM25|Asthma symptoms cough", US_national_yearly!$D:$AM, 24, FALSE) / VLOOKUP("buildings|PM25|Asthma symptoms cough", US_national_yearly!$D:$AM, 10, FALSE), 1)</f>
        <v>1.0704094456751044E-2</v>
      </c>
      <c r="Q6" s="7">
        <f>$B6 * IFERROR(VLOOKUP("buildings|PM25|Asthma symptoms cough", US_national_yearly!$D:$AM, 25, FALSE) / VLOOKUP("buildings|PM25|Asthma symptoms cough", US_national_yearly!$D:$AM, 10, FALSE), 1)</f>
        <v>1.0704094456751044E-2</v>
      </c>
      <c r="R6" s="7">
        <f>$B6 * IFERROR(VLOOKUP("buildings|PM25|Asthma symptoms cough", US_national_yearly!$D:$AM, 26, FALSE) / VLOOKUP("buildings|PM25|Asthma symptoms cough", US_national_yearly!$D:$AM, 10, FALSE), 1)</f>
        <v>1.0704094456751044E-2</v>
      </c>
      <c r="S6" s="7">
        <f>$B6 * IFERROR(VLOOKUP("buildings|PM25|Asthma symptoms cough", US_national_yearly!$D:$AM, 27, FALSE) / VLOOKUP("buildings|PM25|Asthma symptoms cough", US_national_yearly!$D:$AM, 10, FALSE), 1)</f>
        <v>1.0704094456751044E-2</v>
      </c>
      <c r="T6" s="7">
        <f>$B6 * IFERROR(VLOOKUP("buildings|PM25|Asthma symptoms cough", US_national_yearly!$D:$AM, 28, FALSE) / VLOOKUP("buildings|PM25|Asthma symptoms cough", US_national_yearly!$D:$AM, 10, FALSE), 1)</f>
        <v>1.0704094456751044E-2</v>
      </c>
      <c r="U6" s="7">
        <f>$B6 * IFERROR(VLOOKUP("buildings|PM25|Asthma symptoms cough", US_national_yearly!$D:$AM, 29, FALSE) / VLOOKUP("buildings|PM25|Asthma symptoms cough", US_national_yearly!$D:$AM, 10, FALSE), 1)</f>
        <v>1.0704094456751044E-2</v>
      </c>
      <c r="V6" s="7">
        <f>$B6 * IFERROR(VLOOKUP("buildings|PM25|Asthma symptoms cough", US_national_yearly!$D:$AM, 30, FALSE) / VLOOKUP("buildings|PM25|Asthma symptoms cough", US_national_yearly!$D:$AM, 10, FALSE), 1)</f>
        <v>1.0704094456751044E-2</v>
      </c>
      <c r="W6" s="7">
        <f>$B6 * IFERROR(VLOOKUP("buildings|PM25|Asthma symptoms cough", US_national_yearly!$D:$AM, 31, FALSE) / VLOOKUP("buildings|PM25|Asthma symptoms cough", US_national_yearly!$D:$AM, 10, FALSE), 1)</f>
        <v>1.0704094456751044E-2</v>
      </c>
      <c r="X6" s="7">
        <f>$B6 * IFERROR(VLOOKUP("buildings|PM25|Asthma symptoms cough", US_national_yearly!$D:$AM, 32, FALSE) / VLOOKUP("buildings|PM25|Asthma symptoms cough", US_national_yearly!$D:$AM, 10, FALSE), 1)</f>
        <v>1.0704094456751044E-2</v>
      </c>
      <c r="Y6" s="7">
        <f>$B6 * IFERROR(VLOOKUP("buildings|PM25|Asthma symptoms cough", US_national_yearly!$D:$AM, 33, FALSE) / VLOOKUP("buildings|PM25|Asthma symptoms cough", US_national_yearly!$D:$AM, 10, FALSE), 1)</f>
        <v>1.0704094456751044E-2</v>
      </c>
      <c r="Z6" s="7">
        <f>$B6 * IFERROR(VLOOKUP("buildings|PM25|Asthma symptoms cough", US_national_yearly!$D:$AM, 34, FALSE) / VLOOKUP("buildings|PM25|Asthma symptoms cough", US_national_yearly!$D:$AM, 10, FALSE), 1)</f>
        <v>1.0704094456751044E-2</v>
      </c>
      <c r="AA6" s="7">
        <f>$B6 * IFERROR(VLOOKUP("buildings|PM25|Asthma symptoms cough", US_national_yearly!$D:$AM, 35, FALSE) / VLOOKUP("buildings|PM25|Asthma symptoms cough", US_national_yearly!$D:$AM, 10, FALSE), 1)</f>
        <v>1.0704094456751044E-2</v>
      </c>
      <c r="AB6" s="7">
        <f>$B6 * IFERROR(VLOOKUP("buildings|PM25|Asthma symptoms cough", US_national_yearly!$D:$AM, 36, FALSE) / VLOOKUP("buildings|PM25|Asthma symptoms cough", US_national_yearly!$D:$AM, 10, FALSE), 1)</f>
        <v>1.0704094456751044E-2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1.4414624227278832E-2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1.4414624227278832E-2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1.4414624227278832E-2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1.4414624227278832E-2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1.4414624227278832E-2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1.4414624227278832E-2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1.4414624227278832E-2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1.4414624227278832E-2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1.4414624227278832E-2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1.4414624227278832E-2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1.4414624227278832E-2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1.4414624227278832E-2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1.4414624227278832E-2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1.4414624227278832E-2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1.4414624227278832E-2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1.4414624227278832E-2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1.4414624227278832E-2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1.4414624227278832E-2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1.4414624227278832E-2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1.4414624227278832E-2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1.4414624227278832E-2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1.4414624227278832E-2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1.4414624227278832E-2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1.4414624227278832E-2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1.4414624227278832E-2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1.4414624227278832E-2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1.4414624227278832E-2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2.2023074774297699E-2</v>
      </c>
      <c r="C8" s="7">
        <f>$B8 * IFERROR(VLOOKUP("buildings|PM25|Asthma symptoms wheeze", US_national_yearly!$D:$AM, 11, FALSE) / VLOOKUP("buildings|PM25|Asthma symptoms wheeze", US_national_yearly!$D:$AM, 10, FALSE), 1)</f>
        <v>2.2023074774297699E-2</v>
      </c>
      <c r="D8" s="7">
        <f>$B8 * IFERROR(VLOOKUP("buildings|PM25|Asthma symptoms wheeze", US_national_yearly!$D:$AM, 12, FALSE) / VLOOKUP("buildings|PM25|Asthma symptoms wheeze", US_national_yearly!$D:$AM, 10, FALSE), 1)</f>
        <v>2.2023074774297699E-2</v>
      </c>
      <c r="E8" s="7">
        <f>$B8 * IFERROR(VLOOKUP("buildings|PM25|Asthma symptoms wheeze", US_national_yearly!$D:$AM, 13, FALSE) / VLOOKUP("buildings|PM25|Asthma symptoms wheeze", US_national_yearly!$D:$AM, 10, FALSE), 1)</f>
        <v>2.2023074774297699E-2</v>
      </c>
      <c r="F8" s="7">
        <f>$B8 * IFERROR(VLOOKUP("buildings|PM25|Asthma symptoms wheeze", US_national_yearly!$D:$AM, 14, FALSE) / VLOOKUP("buildings|PM25|Asthma symptoms wheeze", US_national_yearly!$D:$AM, 10, FALSE), 1)</f>
        <v>2.2023074774297699E-2</v>
      </c>
      <c r="G8" s="7">
        <f>$B8 * IFERROR(VLOOKUP("buildings|PM25|Asthma symptoms wheeze", US_national_yearly!$D:$AM, 15, FALSE) / VLOOKUP("buildings|PM25|Asthma symptoms wheeze", US_national_yearly!$D:$AM, 10, FALSE), 1)</f>
        <v>2.2023074774297699E-2</v>
      </c>
      <c r="H8" s="7">
        <f>$B8 * IFERROR(VLOOKUP("buildings|PM25|Asthma symptoms wheeze", US_national_yearly!$D:$AM, 16, FALSE) / VLOOKUP("buildings|PM25|Asthma symptoms wheeze", US_national_yearly!$D:$AM, 10, FALSE), 1)</f>
        <v>2.2023074774297699E-2</v>
      </c>
      <c r="I8" s="7">
        <f>$B8 * IFERROR(VLOOKUP("buildings|PM25|Asthma symptoms wheeze", US_national_yearly!$D:$AM, 17, FALSE) / VLOOKUP("buildings|PM25|Asthma symptoms wheeze", US_national_yearly!$D:$AM, 10, FALSE), 1)</f>
        <v>2.2023074774297699E-2</v>
      </c>
      <c r="J8" s="7">
        <f>$B8 * IFERROR(VLOOKUP("buildings|PM25|Asthma symptoms wheeze", US_national_yearly!$D:$AM, 18, FALSE) / VLOOKUP("buildings|PM25|Asthma symptoms wheeze", US_national_yearly!$D:$AM, 10, FALSE), 1)</f>
        <v>2.2023074774297699E-2</v>
      </c>
      <c r="K8" s="7">
        <f>$B8 * IFERROR(VLOOKUP("buildings|PM25|Asthma symptoms wheeze", US_national_yearly!$D:$AM, 19, FALSE) / VLOOKUP("buildings|PM25|Asthma symptoms wheeze", US_national_yearly!$D:$AM, 10, FALSE), 1)</f>
        <v>2.2023074774297699E-2</v>
      </c>
      <c r="L8" s="7">
        <f>$B8 * IFERROR(VLOOKUP("buildings|PM25|Asthma symptoms wheeze", US_national_yearly!$D:$AM, 20, FALSE) / VLOOKUP("buildings|PM25|Asthma symptoms wheeze", US_national_yearly!$D:$AM, 10, FALSE), 1)</f>
        <v>2.2023074774297699E-2</v>
      </c>
      <c r="M8" s="7">
        <f>$B8 * IFERROR(VLOOKUP("buildings|PM25|Asthma symptoms wheeze", US_national_yearly!$D:$AM, 21, FALSE) / VLOOKUP("buildings|PM25|Asthma symptoms wheeze", US_national_yearly!$D:$AM, 10, FALSE), 1)</f>
        <v>2.2023074774297699E-2</v>
      </c>
      <c r="N8" s="7">
        <f>$B8 * IFERROR(VLOOKUP("buildings|PM25|Asthma symptoms wheeze", US_national_yearly!$D:$AM, 22, FALSE) / VLOOKUP("buildings|PM25|Asthma symptoms wheeze", US_national_yearly!$D:$AM, 10, FALSE), 1)</f>
        <v>2.2023074774297699E-2</v>
      </c>
      <c r="O8" s="7">
        <f>$B8 * IFERROR(VLOOKUP("buildings|PM25|Asthma symptoms wheeze", US_national_yearly!$D:$AM, 23, FALSE) / VLOOKUP("buildings|PM25|Asthma symptoms wheeze", US_national_yearly!$D:$AM, 10, FALSE), 1)</f>
        <v>2.2023074774297699E-2</v>
      </c>
      <c r="P8" s="7">
        <f>$B8 * IFERROR(VLOOKUP("buildings|PM25|Asthma symptoms wheeze", US_national_yearly!$D:$AM, 24, FALSE) / VLOOKUP("buildings|PM25|Asthma symptoms wheeze", US_national_yearly!$D:$AM, 10, FALSE), 1)</f>
        <v>2.2023074774297699E-2</v>
      </c>
      <c r="Q8" s="7">
        <f>$B8 * IFERROR(VLOOKUP("buildings|PM25|Asthma symptoms wheeze", US_national_yearly!$D:$AM, 25, FALSE) / VLOOKUP("buildings|PM25|Asthma symptoms wheeze", US_national_yearly!$D:$AM, 10, FALSE), 1)</f>
        <v>2.2023074774297699E-2</v>
      </c>
      <c r="R8" s="7">
        <f>$B8 * IFERROR(VLOOKUP("buildings|PM25|Asthma symptoms wheeze", US_national_yearly!$D:$AM, 26, FALSE) / VLOOKUP("buildings|PM25|Asthma symptoms wheeze", US_national_yearly!$D:$AM, 10, FALSE), 1)</f>
        <v>2.2023074774297699E-2</v>
      </c>
      <c r="S8" s="7">
        <f>$B8 * IFERROR(VLOOKUP("buildings|PM25|Asthma symptoms wheeze", US_national_yearly!$D:$AM, 27, FALSE) / VLOOKUP("buildings|PM25|Asthma symptoms wheeze", US_national_yearly!$D:$AM, 10, FALSE), 1)</f>
        <v>2.2023074774297699E-2</v>
      </c>
      <c r="T8" s="7">
        <f>$B8 * IFERROR(VLOOKUP("buildings|PM25|Asthma symptoms wheeze", US_national_yearly!$D:$AM, 28, FALSE) / VLOOKUP("buildings|PM25|Asthma symptoms wheeze", US_national_yearly!$D:$AM, 10, FALSE), 1)</f>
        <v>2.2023074774297699E-2</v>
      </c>
      <c r="U8" s="7">
        <f>$B8 * IFERROR(VLOOKUP("buildings|PM25|Asthma symptoms wheeze", US_national_yearly!$D:$AM, 29, FALSE) / VLOOKUP("buildings|PM25|Asthma symptoms wheeze", US_national_yearly!$D:$AM, 10, FALSE), 1)</f>
        <v>2.2023074774297699E-2</v>
      </c>
      <c r="V8" s="7">
        <f>$B8 * IFERROR(VLOOKUP("buildings|PM25|Asthma symptoms wheeze", US_national_yearly!$D:$AM, 30, FALSE) / VLOOKUP("buildings|PM25|Asthma symptoms wheeze", US_national_yearly!$D:$AM, 10, FALSE), 1)</f>
        <v>2.2023074774297699E-2</v>
      </c>
      <c r="W8" s="7">
        <f>$B8 * IFERROR(VLOOKUP("buildings|PM25|Asthma symptoms wheeze", US_national_yearly!$D:$AM, 31, FALSE) / VLOOKUP("buildings|PM25|Asthma symptoms wheeze", US_national_yearly!$D:$AM, 10, FALSE), 1)</f>
        <v>2.2023074774297699E-2</v>
      </c>
      <c r="X8" s="7">
        <f>$B8 * IFERROR(VLOOKUP("buildings|PM25|Asthma symptoms wheeze", US_national_yearly!$D:$AM, 32, FALSE) / VLOOKUP("buildings|PM25|Asthma symptoms wheeze", US_national_yearly!$D:$AM, 10, FALSE), 1)</f>
        <v>2.2023074774297699E-2</v>
      </c>
      <c r="Y8" s="7">
        <f>$B8 * IFERROR(VLOOKUP("buildings|PM25|Asthma symptoms wheeze", US_national_yearly!$D:$AM, 33, FALSE) / VLOOKUP("buildings|PM25|Asthma symptoms wheeze", US_national_yearly!$D:$AM, 10, FALSE), 1)</f>
        <v>2.2023074774297699E-2</v>
      </c>
      <c r="Z8" s="7">
        <f>$B8 * IFERROR(VLOOKUP("buildings|PM25|Asthma symptoms wheeze", US_national_yearly!$D:$AM, 34, FALSE) / VLOOKUP("buildings|PM25|Asthma symptoms wheeze", US_national_yearly!$D:$AM, 10, FALSE), 1)</f>
        <v>2.2023074774297699E-2</v>
      </c>
      <c r="AA8" s="7">
        <f>$B8 * IFERROR(VLOOKUP("buildings|PM25|Asthma symptoms wheeze", US_national_yearly!$D:$AM, 35, FALSE) / VLOOKUP("buildings|PM25|Asthma symptoms wheeze", US_national_yearly!$D:$AM, 10, FALSE), 1)</f>
        <v>2.2023074774297699E-2</v>
      </c>
      <c r="AB8" s="7">
        <f>$B8 * IFERROR(VLOOKUP("buildings|PM25|Asthma symptoms wheeze", US_national_yearly!$D:$AM, 36, FALSE) / VLOOKUP("buildings|PM25|Asthma symptoms wheeze", US_national_yearly!$D:$AM, 10, FALSE), 1)</f>
        <v>2.2023074774297699E-2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2.3579195870906987E-4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2.3715110276356172E-4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2.3851024681805362E-4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2.3986939087254552E-4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2.4122853492703739E-4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2.4269517728426192E-4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2.4416181964148642E-4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2.455567291491489E-4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2.4695163865681133E-4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2.4834654816447376E-4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2.4974145767213624E-4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2.5113636717979867E-4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2.5213968499001894E-4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2.5314300280023921E-4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2.5414632061045953E-4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2.5514963842067974E-4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2.5615295623090007E-4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2.5710889026066703E-4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2.5806482429043416E-4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2.5902075832020117E-4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2.5997669234996819E-4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2.6093262637973526E-4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2.618559071197764E-4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2.6277918785981753E-4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2.6370246859985867E-4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2.646257493398998E-4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2.6554903007994089E-4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1.4681792149684294E-3</v>
      </c>
      <c r="C13" s="7">
        <f>$B13 * IFERROR(VLOOKUP("buildings|PM25|Non-fatal heart attacks", US_national_yearly!$D:$AM, 11, FALSE) / VLOOKUP("buildings|PM25|Non-fatal heart attacks", US_national_yearly!$D:$AM, 10, FALSE), 1)</f>
        <v>1.5108832849505397E-3</v>
      </c>
      <c r="D13" s="7">
        <f>$B13 * IFERROR(VLOOKUP("buildings|PM25|Non-fatal heart attacks", US_national_yearly!$D:$AM, 12, FALSE) / VLOOKUP("buildings|PM25|Non-fatal heart attacks", US_national_yearly!$D:$AM, 10, FALSE), 1)</f>
        <v>1.5535873549326496E-3</v>
      </c>
      <c r="E13" s="7">
        <f>$B13 * IFERROR(VLOOKUP("buildings|PM25|Non-fatal heart attacks", US_national_yearly!$D:$AM, 13, FALSE) / VLOOKUP("buildings|PM25|Non-fatal heart attacks", US_national_yearly!$D:$AM, 10, FALSE), 1)</f>
        <v>1.5962914249147595E-3</v>
      </c>
      <c r="F13" s="7">
        <f>$B13 * IFERROR(VLOOKUP("buildings|PM25|Non-fatal heart attacks", US_national_yearly!$D:$AM, 14, FALSE) / VLOOKUP("buildings|PM25|Non-fatal heart attacks", US_national_yearly!$D:$AM, 10, FALSE), 1)</f>
        <v>1.6389954948968697E-3</v>
      </c>
      <c r="G13" s="7">
        <f>$B13 * IFERROR(VLOOKUP("buildings|PM25|Non-fatal heart attacks", US_national_yearly!$D:$AM, 15, FALSE) / VLOOKUP("buildings|PM25|Non-fatal heart attacks", US_national_yearly!$D:$AM, 10, FALSE), 1)</f>
        <v>1.6792892239751228E-3</v>
      </c>
      <c r="H13" s="7">
        <f>$B13 * IFERROR(VLOOKUP("buildings|PM25|Non-fatal heart attacks", US_national_yearly!$D:$AM, 16, FALSE) / VLOOKUP("buildings|PM25|Non-fatal heart attacks", US_national_yearly!$D:$AM, 10, FALSE), 1)</f>
        <v>1.719582953053375E-3</v>
      </c>
      <c r="I13" s="7">
        <f>$B13 * IFERROR(VLOOKUP("buildings|PM25|Non-fatal heart attacks", US_national_yearly!$D:$AM, 17, FALSE) / VLOOKUP("buildings|PM25|Non-fatal heart attacks", US_national_yearly!$D:$AM, 10, FALSE), 1)</f>
        <v>1.7520023876640897E-3</v>
      </c>
      <c r="J13" s="7">
        <f>$B13 * IFERROR(VLOOKUP("buildings|PM25|Non-fatal heart attacks", US_national_yearly!$D:$AM, 18, FALSE) / VLOOKUP("buildings|PM25|Non-fatal heart attacks", US_national_yearly!$D:$AM, 10, FALSE), 1)</f>
        <v>1.7844218222748045E-3</v>
      </c>
      <c r="K13" s="7">
        <f>$B13 * IFERROR(VLOOKUP("buildings|PM25|Non-fatal heart attacks", US_national_yearly!$D:$AM, 19, FALSE) / VLOOKUP("buildings|PM25|Non-fatal heart attacks", US_national_yearly!$D:$AM, 10, FALSE), 1)</f>
        <v>1.8168412568855187E-3</v>
      </c>
      <c r="L13" s="7">
        <f>$B13 * IFERROR(VLOOKUP("buildings|PM25|Non-fatal heart attacks", US_national_yearly!$D:$AM, 20, FALSE) / VLOOKUP("buildings|PM25|Non-fatal heart attacks", US_national_yearly!$D:$AM, 10, FALSE), 1)</f>
        <v>1.849260691496233E-3</v>
      </c>
      <c r="M13" s="7">
        <f>$B13 * IFERROR(VLOOKUP("buildings|PM25|Non-fatal heart attacks", US_national_yearly!$D:$AM, 21, FALSE) / VLOOKUP("buildings|PM25|Non-fatal heart attacks", US_national_yearly!$D:$AM, 10, FALSE), 1)</f>
        <v>1.8816801261069475E-3</v>
      </c>
      <c r="N13" s="7">
        <f>$B13 * IFERROR(VLOOKUP("buildings|PM25|Non-fatal heart attacks", US_national_yearly!$D:$AM, 22, FALSE) / VLOOKUP("buildings|PM25|Non-fatal heart attacks", US_national_yearly!$D:$AM, 10, FALSE), 1)</f>
        <v>1.9026235873633381E-3</v>
      </c>
      <c r="O13" s="7">
        <f>$B13 * IFERROR(VLOOKUP("buildings|PM25|Non-fatal heart attacks", US_national_yearly!$D:$AM, 23, FALSE) / VLOOKUP("buildings|PM25|Non-fatal heart attacks", US_national_yearly!$D:$AM, 10, FALSE), 1)</f>
        <v>1.9235670486197282E-3</v>
      </c>
      <c r="P13" s="7">
        <f>$B13 * IFERROR(VLOOKUP("buildings|PM25|Non-fatal heart attacks", US_national_yearly!$D:$AM, 24, FALSE) / VLOOKUP("buildings|PM25|Non-fatal heart attacks", US_national_yearly!$D:$AM, 10, FALSE), 1)</f>
        <v>1.9445105098761183E-3</v>
      </c>
      <c r="Q13" s="7">
        <f>$B13 * IFERROR(VLOOKUP("buildings|PM25|Non-fatal heart attacks", US_national_yearly!$D:$AM, 25, FALSE) / VLOOKUP("buildings|PM25|Non-fatal heart attacks", US_national_yearly!$D:$AM, 10, FALSE), 1)</f>
        <v>1.9654539711325089E-3</v>
      </c>
      <c r="R13" s="7">
        <f>$B13 * IFERROR(VLOOKUP("buildings|PM25|Non-fatal heart attacks", US_national_yearly!$D:$AM, 26, FALSE) / VLOOKUP("buildings|PM25|Non-fatal heart attacks", US_national_yearly!$D:$AM, 10, FALSE), 1)</f>
        <v>1.986397432388899E-3</v>
      </c>
      <c r="S13" s="7">
        <f>$B13 * IFERROR(VLOOKUP("buildings|PM25|Non-fatal heart attacks", US_national_yearly!$D:$AM, 27, FALSE) / VLOOKUP("buildings|PM25|Non-fatal heart attacks", US_national_yearly!$D:$AM, 10, FALSE), 1)</f>
        <v>1.9974746288875865E-3</v>
      </c>
      <c r="T13" s="7">
        <f>$B13 * IFERROR(VLOOKUP("buildings|PM25|Non-fatal heart attacks", US_national_yearly!$D:$AM, 28, FALSE) / VLOOKUP("buildings|PM25|Non-fatal heart attacks", US_national_yearly!$D:$AM, 10, FALSE), 1)</f>
        <v>2.008551825386274E-3</v>
      </c>
      <c r="U13" s="7">
        <f>$B13 * IFERROR(VLOOKUP("buildings|PM25|Non-fatal heart attacks", US_national_yearly!$D:$AM, 29, FALSE) / VLOOKUP("buildings|PM25|Non-fatal heart attacks", US_national_yearly!$D:$AM, 10, FALSE), 1)</f>
        <v>2.0196290218849615E-3</v>
      </c>
      <c r="V13" s="7">
        <f>$B13 * IFERROR(VLOOKUP("buildings|PM25|Non-fatal heart attacks", US_national_yearly!$D:$AM, 30, FALSE) / VLOOKUP("buildings|PM25|Non-fatal heart attacks", US_national_yearly!$D:$AM, 10, FALSE), 1)</f>
        <v>2.030706218383649E-3</v>
      </c>
      <c r="W13" s="7">
        <f>$B13 * IFERROR(VLOOKUP("buildings|PM25|Non-fatal heart attacks", US_national_yearly!$D:$AM, 31, FALSE) / VLOOKUP("buildings|PM25|Non-fatal heart attacks", US_national_yearly!$D:$AM, 10, FALSE), 1)</f>
        <v>2.0417834148823365E-3</v>
      </c>
      <c r="X13" s="7">
        <f>$B13 * IFERROR(VLOOKUP("buildings|PM25|Non-fatal heart attacks", US_national_yearly!$D:$AM, 32, FALSE) / VLOOKUP("buildings|PM25|Non-fatal heart attacks", US_national_yearly!$D:$AM, 10, FALSE), 1)</f>
        <v>2.0502139704776908E-3</v>
      </c>
      <c r="Y13" s="7">
        <f>$B13 * IFERROR(VLOOKUP("buildings|PM25|Non-fatal heart attacks", US_national_yearly!$D:$AM, 33, FALSE) / VLOOKUP("buildings|PM25|Non-fatal heart attacks", US_national_yearly!$D:$AM, 10, FALSE), 1)</f>
        <v>2.058644526073045E-3</v>
      </c>
      <c r="Z13" s="7">
        <f>$B13 * IFERROR(VLOOKUP("buildings|PM25|Non-fatal heart attacks", US_national_yearly!$D:$AM, 34, FALSE) / VLOOKUP("buildings|PM25|Non-fatal heart attacks", US_national_yearly!$D:$AM, 10, FALSE), 1)</f>
        <v>2.0670750816683993E-3</v>
      </c>
      <c r="AA13" s="7">
        <f>$B13 * IFERROR(VLOOKUP("buildings|PM25|Non-fatal heart attacks", US_national_yearly!$D:$AM, 35, FALSE) / VLOOKUP("buildings|PM25|Non-fatal heart attacks", US_national_yearly!$D:$AM, 10, FALSE), 1)</f>
        <v>2.0755056372637535E-3</v>
      </c>
      <c r="AB13" s="7">
        <f>$B13 * IFERROR(VLOOKUP("buildings|PM25|Non-fatal heart attacks", US_national_yearly!$D:$AM, 36, FALSE) / VLOOKUP("buildings|PM25|Non-fatal heart attacks", US_national_yearly!$D:$AM, 10, FALSE), 1)</f>
        <v>2.0839361928591082E-3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1.1296275657202262</v>
      </c>
      <c r="C14" s="7">
        <f>$B14 * IFERROR(VLOOKUP("buildings|PM25|Minor restricted activity days", US_national_yearly!$D:$AM, 11, FALSE) / VLOOKUP("buildings|PM25|Minor restricted activity days", US_national_yearly!$D:$AM, 10, FALSE), 1)</f>
        <v>1.1324370128058685</v>
      </c>
      <c r="D14" s="7">
        <f>$B14 * IFERROR(VLOOKUP("buildings|PM25|Minor restricted activity days", US_national_yearly!$D:$AM, 12, FALSE) / VLOOKUP("buildings|PM25|Minor restricted activity days", US_national_yearly!$D:$AM, 10, FALSE), 1)</f>
        <v>1.1352464598915109</v>
      </c>
      <c r="E14" s="7">
        <f>$B14 * IFERROR(VLOOKUP("buildings|PM25|Minor restricted activity days", US_national_yearly!$D:$AM, 13, FALSE) / VLOOKUP("buildings|PM25|Minor restricted activity days", US_national_yearly!$D:$AM, 10, FALSE), 1)</f>
        <v>1.138055906977153</v>
      </c>
      <c r="F14" s="7">
        <f>$B14 * IFERROR(VLOOKUP("buildings|PM25|Minor restricted activity days", US_national_yearly!$D:$AM, 14, FALSE) / VLOOKUP("buildings|PM25|Minor restricted activity days", US_national_yearly!$D:$AM, 10, FALSE), 1)</f>
        <v>1.1408653540627951</v>
      </c>
      <c r="G14" s="7">
        <f>$B14 * IFERROR(VLOOKUP("buildings|PM25|Minor restricted activity days", US_national_yearly!$D:$AM, 15, FALSE) / VLOOKUP("buildings|PM25|Minor restricted activity days", US_national_yearly!$D:$AM, 10, FALSE), 1)</f>
        <v>1.1449859599283012</v>
      </c>
      <c r="H14" s="7">
        <f>$B14 * IFERROR(VLOOKUP("buildings|PM25|Minor restricted activity days", US_national_yearly!$D:$AM, 16, FALSE) / VLOOKUP("buildings|PM25|Minor restricted activity days", US_national_yearly!$D:$AM, 10, FALSE), 1)</f>
        <v>1.1491065657938069</v>
      </c>
      <c r="I14" s="7">
        <f>$B14 * IFERROR(VLOOKUP("buildings|PM25|Minor restricted activity days", US_national_yearly!$D:$AM, 17, FALSE) / VLOOKUP("buildings|PM25|Minor restricted activity days", US_national_yearly!$D:$AM, 10, FALSE), 1)</f>
        <v>1.1561134455099507</v>
      </c>
      <c r="J14" s="7">
        <f>$B14 * IFERROR(VLOOKUP("buildings|PM25|Minor restricted activity days", US_national_yearly!$D:$AM, 18, FALSE) / VLOOKUP("buildings|PM25|Minor restricted activity days", US_national_yearly!$D:$AM, 10, FALSE), 1)</f>
        <v>1.1631203252260951</v>
      </c>
      <c r="K14" s="7">
        <f>$B14 * IFERROR(VLOOKUP("buildings|PM25|Minor restricted activity days", US_national_yearly!$D:$AM, 19, FALSE) / VLOOKUP("buildings|PM25|Minor restricted activity days", US_national_yearly!$D:$AM, 10, FALSE), 1)</f>
        <v>1.1701272049422384</v>
      </c>
      <c r="L14" s="7">
        <f>$B14 * IFERROR(VLOOKUP("buildings|PM25|Minor restricted activity days", US_national_yearly!$D:$AM, 20, FALSE) / VLOOKUP("buildings|PM25|Minor restricted activity days", US_national_yearly!$D:$AM, 10, FALSE), 1)</f>
        <v>1.177134084658382</v>
      </c>
      <c r="M14" s="7">
        <f>$B14 * IFERROR(VLOOKUP("buildings|PM25|Minor restricted activity days", US_national_yearly!$D:$AM, 21, FALSE) / VLOOKUP("buildings|PM25|Minor restricted activity days", US_national_yearly!$D:$AM, 10, FALSE), 1)</f>
        <v>1.1841409643745255</v>
      </c>
      <c r="N14" s="7">
        <f>$B14 * IFERROR(VLOOKUP("buildings|PM25|Minor restricted activity days", US_national_yearly!$D:$AM, 22, FALSE) / VLOOKUP("buildings|PM25|Minor restricted activity days", US_national_yearly!$D:$AM, 10, FALSE), 1)</f>
        <v>1.1936616234030737</v>
      </c>
      <c r="O14" s="7">
        <f>$B14 * IFERROR(VLOOKUP("buildings|PM25|Minor restricted activity days", US_national_yearly!$D:$AM, 23, FALSE) / VLOOKUP("buildings|PM25|Minor restricted activity days", US_national_yearly!$D:$AM, 10, FALSE), 1)</f>
        <v>1.2031822824316216</v>
      </c>
      <c r="P14" s="7">
        <f>$B14 * IFERROR(VLOOKUP("buildings|PM25|Minor restricted activity days", US_national_yearly!$D:$AM, 24, FALSE) / VLOOKUP("buildings|PM25|Minor restricted activity days", US_national_yearly!$D:$AM, 10, FALSE), 1)</f>
        <v>1.2127029414601695</v>
      </c>
      <c r="Q14" s="7">
        <f>$B14 * IFERROR(VLOOKUP("buildings|PM25|Minor restricted activity days", US_national_yearly!$D:$AM, 25, FALSE) / VLOOKUP("buildings|PM25|Minor restricted activity days", US_national_yearly!$D:$AM, 10, FALSE), 1)</f>
        <v>1.2222236004887175</v>
      </c>
      <c r="R14" s="7">
        <f>$B14 * IFERROR(VLOOKUP("buildings|PM25|Minor restricted activity days", US_national_yearly!$D:$AM, 26, FALSE) / VLOOKUP("buildings|PM25|Minor restricted activity days", US_national_yearly!$D:$AM, 10, FALSE), 1)</f>
        <v>1.2317442595172652</v>
      </c>
      <c r="S14" s="7">
        <f>$B14 * IFERROR(VLOOKUP("buildings|PM25|Minor restricted activity days", US_national_yearly!$D:$AM, 27, FALSE) / VLOOKUP("buildings|PM25|Minor restricted activity days", US_national_yearly!$D:$AM, 10, FALSE), 1)</f>
        <v>1.241323918584835</v>
      </c>
      <c r="T14" s="7">
        <f>$B14 * IFERROR(VLOOKUP("buildings|PM25|Minor restricted activity days", US_national_yearly!$D:$AM, 28, FALSE) / VLOOKUP("buildings|PM25|Minor restricted activity days", US_national_yearly!$D:$AM, 10, FALSE), 1)</f>
        <v>1.2509035776524045</v>
      </c>
      <c r="U14" s="7">
        <f>$B14 * IFERROR(VLOOKUP("buildings|PM25|Minor restricted activity days", US_national_yearly!$D:$AM, 29, FALSE) / VLOOKUP("buildings|PM25|Minor restricted activity days", US_national_yearly!$D:$AM, 10, FALSE), 1)</f>
        <v>1.2604832367199743</v>
      </c>
      <c r="V14" s="7">
        <f>$B14 * IFERROR(VLOOKUP("buildings|PM25|Minor restricted activity days", US_national_yearly!$D:$AM, 30, FALSE) / VLOOKUP("buildings|PM25|Minor restricted activity days", US_national_yearly!$D:$AM, 10, FALSE), 1)</f>
        <v>1.2700628957875439</v>
      </c>
      <c r="W14" s="7">
        <f>$B14 * IFERROR(VLOOKUP("buildings|PM25|Minor restricted activity days", US_national_yearly!$D:$AM, 31, FALSE) / VLOOKUP("buildings|PM25|Minor restricted activity days", US_national_yearly!$D:$AM, 10, FALSE), 1)</f>
        <v>1.2796425548551136</v>
      </c>
      <c r="X14" s="7">
        <f>$B14 * IFERROR(VLOOKUP("buildings|PM25|Minor restricted activity days", US_national_yearly!$D:$AM, 32, FALSE) / VLOOKUP("buildings|PM25|Minor restricted activity days", US_national_yearly!$D:$AM, 10, FALSE), 1)</f>
        <v>1.2879606263772199</v>
      </c>
      <c r="Y14" s="7">
        <f>$B14 * IFERROR(VLOOKUP("buildings|PM25|Minor restricted activity days", US_national_yearly!$D:$AM, 33, FALSE) / VLOOKUP("buildings|PM25|Minor restricted activity days", US_national_yearly!$D:$AM, 10, FALSE), 1)</f>
        <v>1.2962786978993259</v>
      </c>
      <c r="Z14" s="7">
        <f>$B14 * IFERROR(VLOOKUP("buildings|PM25|Minor restricted activity days", US_national_yearly!$D:$AM, 34, FALSE) / VLOOKUP("buildings|PM25|Minor restricted activity days", US_national_yearly!$D:$AM, 10, FALSE), 1)</f>
        <v>1.3045967694214315</v>
      </c>
      <c r="AA14" s="7">
        <f>$B14 * IFERROR(VLOOKUP("buildings|PM25|Minor restricted activity days", US_national_yearly!$D:$AM, 35, FALSE) / VLOOKUP("buildings|PM25|Minor restricted activity days", US_national_yearly!$D:$AM, 10, FALSE), 1)</f>
        <v>1.3129148409435376</v>
      </c>
      <c r="AB14" s="7">
        <f>$B14 * IFERROR(VLOOKUP("buildings|PM25|Minor restricted activity days", US_national_yearly!$D:$AM, 36, FALSE) / VLOOKUP("buildings|PM25|Minor restricted activity days", US_national_yearly!$D:$AM, 10, FALSE), 1)</f>
        <v>1.3212329124656434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0.19248258996872394</v>
      </c>
      <c r="C15" s="7">
        <f>$B15 * IFERROR(VLOOKUP("buildings|PM25|Work loss days", US_national_yearly!$D:$AM, 11, FALSE) / VLOOKUP("buildings|PM25|Work loss days", US_national_yearly!$D:$AM, 10, FALSE), 1)</f>
        <v>0.193086641846864</v>
      </c>
      <c r="D15" s="7">
        <f>$B15 * IFERROR(VLOOKUP("buildings|PM25|Work loss days", US_national_yearly!$D:$AM, 12, FALSE) / VLOOKUP("buildings|PM25|Work loss days", US_national_yearly!$D:$AM, 10, FALSE), 1)</f>
        <v>0.19369069372500403</v>
      </c>
      <c r="E15" s="7">
        <f>$B15 * IFERROR(VLOOKUP("buildings|PM25|Work loss days", US_national_yearly!$D:$AM, 13, FALSE) / VLOOKUP("buildings|PM25|Work loss days", US_national_yearly!$D:$AM, 10, FALSE), 1)</f>
        <v>0.19429474560314405</v>
      </c>
      <c r="F15" s="7">
        <f>$B15 * IFERROR(VLOOKUP("buildings|PM25|Work loss days", US_national_yearly!$D:$AM, 14, FALSE) / VLOOKUP("buildings|PM25|Work loss days", US_national_yearly!$D:$AM, 10, FALSE), 1)</f>
        <v>0.19489879748128408</v>
      </c>
      <c r="G15" s="7">
        <f>$B15 * IFERROR(VLOOKUP("buildings|PM25|Work loss days", US_national_yearly!$D:$AM, 15, FALSE) / VLOOKUP("buildings|PM25|Work loss days", US_national_yearly!$D:$AM, 10, FALSE), 1)</f>
        <v>0.19568834741760122</v>
      </c>
      <c r="H15" s="7">
        <f>$B15 * IFERROR(VLOOKUP("buildings|PM25|Work loss days", US_national_yearly!$D:$AM, 16, FALSE) / VLOOKUP("buildings|PM25|Work loss days", US_national_yearly!$D:$AM, 10, FALSE), 1)</f>
        <v>0.19647789735391835</v>
      </c>
      <c r="I15" s="7">
        <f>$B15 * IFERROR(VLOOKUP("buildings|PM25|Work loss days", US_national_yearly!$D:$AM, 17, FALSE) / VLOOKUP("buildings|PM25|Work loss days", US_national_yearly!$D:$AM, 10, FALSE), 1)</f>
        <v>0.19763748274168882</v>
      </c>
      <c r="J15" s="7">
        <f>$B15 * IFERROR(VLOOKUP("buildings|PM25|Work loss days", US_national_yearly!$D:$AM, 18, FALSE) / VLOOKUP("buildings|PM25|Work loss days", US_national_yearly!$D:$AM, 10, FALSE), 1)</f>
        <v>0.1987970681294593</v>
      </c>
      <c r="K15" s="7">
        <f>$B15 * IFERROR(VLOOKUP("buildings|PM25|Work loss days", US_national_yearly!$D:$AM, 19, FALSE) / VLOOKUP("buildings|PM25|Work loss days", US_national_yearly!$D:$AM, 10, FALSE), 1)</f>
        <v>0.19995665351722977</v>
      </c>
      <c r="L15" s="7">
        <f>$B15 * IFERROR(VLOOKUP("buildings|PM25|Work loss days", US_national_yearly!$D:$AM, 20, FALSE) / VLOOKUP("buildings|PM25|Work loss days", US_national_yearly!$D:$AM, 10, FALSE), 1)</f>
        <v>0.20111623890500024</v>
      </c>
      <c r="M15" s="7">
        <f>$B15 * IFERROR(VLOOKUP("buildings|PM25|Work loss days", US_national_yearly!$D:$AM, 21, FALSE) / VLOOKUP("buildings|PM25|Work loss days", US_national_yearly!$D:$AM, 10, FALSE), 1)</f>
        <v>0.20227582429277077</v>
      </c>
      <c r="N15" s="7">
        <f>$B15 * IFERROR(VLOOKUP("buildings|PM25|Work loss days", US_national_yearly!$D:$AM, 22, FALSE) / VLOOKUP("buildings|PM25|Work loss days", US_national_yearly!$D:$AM, 10, FALSE), 1)</f>
        <v>0.20373373091213404</v>
      </c>
      <c r="O15" s="7">
        <f>$B15 * IFERROR(VLOOKUP("buildings|PM25|Work loss days", US_national_yearly!$D:$AM, 23, FALSE) / VLOOKUP("buildings|PM25|Work loss days", US_national_yearly!$D:$AM, 10, FALSE), 1)</f>
        <v>0.20519163753149733</v>
      </c>
      <c r="P15" s="7">
        <f>$B15 * IFERROR(VLOOKUP("buildings|PM25|Work loss days", US_national_yearly!$D:$AM, 24, FALSE) / VLOOKUP("buildings|PM25|Work loss days", US_national_yearly!$D:$AM, 10, FALSE), 1)</f>
        <v>0.20664954415086059</v>
      </c>
      <c r="Q15" s="7">
        <f>$B15 * IFERROR(VLOOKUP("buildings|PM25|Work loss days", US_national_yearly!$D:$AM, 25, FALSE) / VLOOKUP("buildings|PM25|Work loss days", US_national_yearly!$D:$AM, 10, FALSE), 1)</f>
        <v>0.20810745077022386</v>
      </c>
      <c r="R15" s="7">
        <f>$B15 * IFERROR(VLOOKUP("buildings|PM25|Work loss days", US_national_yearly!$D:$AM, 26, FALSE) / VLOOKUP("buildings|PM25|Work loss days", US_national_yearly!$D:$AM, 10, FALSE), 1)</f>
        <v>0.20956535738958715</v>
      </c>
      <c r="S15" s="7">
        <f>$B15 * IFERROR(VLOOKUP("buildings|PM25|Work loss days", US_national_yearly!$D:$AM, 27, FALSE) / VLOOKUP("buildings|PM25|Work loss days", US_national_yearly!$D:$AM, 10, FALSE), 1)</f>
        <v>0.21117579644428031</v>
      </c>
      <c r="T15" s="7">
        <f>$B15 * IFERROR(VLOOKUP("buildings|PM25|Work loss days", US_national_yearly!$D:$AM, 28, FALSE) / VLOOKUP("buildings|PM25|Work loss days", US_national_yearly!$D:$AM, 10, FALSE), 1)</f>
        <v>0.21278623549897349</v>
      </c>
      <c r="U15" s="7">
        <f>$B15 * IFERROR(VLOOKUP("buildings|PM25|Work loss days", US_national_yearly!$D:$AM, 29, FALSE) / VLOOKUP("buildings|PM25|Work loss days", US_national_yearly!$D:$AM, 10, FALSE), 1)</f>
        <v>0.21439667455366668</v>
      </c>
      <c r="V15" s="7">
        <f>$B15 * IFERROR(VLOOKUP("buildings|PM25|Work loss days", US_national_yearly!$D:$AM, 30, FALSE) / VLOOKUP("buildings|PM25|Work loss days", US_national_yearly!$D:$AM, 10, FALSE), 1)</f>
        <v>0.21600711360835981</v>
      </c>
      <c r="W15" s="7">
        <f>$B15 * IFERROR(VLOOKUP("buildings|PM25|Work loss days", US_national_yearly!$D:$AM, 31, FALSE) / VLOOKUP("buildings|PM25|Work loss days", US_national_yearly!$D:$AM, 10, FALSE), 1)</f>
        <v>0.21761755266305302</v>
      </c>
      <c r="X15" s="7">
        <f>$B15 * IFERROR(VLOOKUP("buildings|PM25|Work loss days", US_national_yearly!$D:$AM, 32, FALSE) / VLOOKUP("buildings|PM25|Work loss days", US_national_yearly!$D:$AM, 10, FALSE), 1)</f>
        <v>0.21904666383409618</v>
      </c>
      <c r="Y15" s="7">
        <f>$B15 * IFERROR(VLOOKUP("buildings|PM25|Work loss days", US_national_yearly!$D:$AM, 33, FALSE) / VLOOKUP("buildings|PM25|Work loss days", US_national_yearly!$D:$AM, 10, FALSE), 1)</f>
        <v>0.2204757750051394</v>
      </c>
      <c r="Z15" s="7">
        <f>$B15 * IFERROR(VLOOKUP("buildings|PM25|Work loss days", US_national_yearly!$D:$AM, 34, FALSE) / VLOOKUP("buildings|PM25|Work loss days", US_national_yearly!$D:$AM, 10, FALSE), 1)</f>
        <v>0.22190488617618259</v>
      </c>
      <c r="AA15" s="7">
        <f>$B15 * IFERROR(VLOOKUP("buildings|PM25|Work loss days", US_national_yearly!$D:$AM, 35, FALSE) / VLOOKUP("buildings|PM25|Work loss days", US_national_yearly!$D:$AM, 10, FALSE), 1)</f>
        <v>0.22333399734722581</v>
      </c>
      <c r="AB15" s="7">
        <f>$B15 * IFERROR(VLOOKUP("buildings|PM25|Work loss days", US_national_yearly!$D:$AM, 36, FALSE) / VLOOKUP("buildings|PM25|Work loss days", US_national_yearly!$D:$AM, 10, FALSE), 1)</f>
        <v>0.224763108518269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2.8196681549069188E-4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2.9039377349759275E-4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2.9882073150449369E-4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3.0724768951139451E-4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3.1567464751829544E-4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3.237489488881832E-4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3.3182325025807096E-4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3.3873559513189141E-4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3.4564794000571187E-4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3.5256028487953237E-4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3.5947262975335288E-4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3.6638497462717338E-4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3.7100069844315511E-4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3.7561642225913695E-4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3.8023214607511868E-4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3.8484786989110046E-4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3.8946359370708219E-4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3.9191623443976986E-4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3.9436887517245743E-4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3.968215159051451E-4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3.9927415663783267E-4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4.017267973705204E-4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4.033851663328889E-4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4.0504353529525734E-4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4.0670190425762584E-4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4.0836027321999429E-4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4.1001864218236279E-4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1.1843931501488571E-4</v>
      </c>
      <c r="C2" s="7">
        <f>$B2 * IFERROR(VLOOKUP("buildings|NOx|Premature mortality", US_national_yearly!$D:$AM, 11, FALSE) / VLOOKUP("buildings|NOx|Premature mortality", US_national_yearly!$D:$AM, 10, FALSE), 1)</f>
        <v>1.2018140146524059E-4</v>
      </c>
      <c r="D2" s="7">
        <f>$B2 * IFERROR(VLOOKUP("buildings|NOx|Premature mortality", US_national_yearly!$D:$AM, 12, FALSE) / VLOOKUP("buildings|NOx|Premature mortality", US_national_yearly!$D:$AM, 10, FALSE), 1)</f>
        <v>1.2192348791559544E-4</v>
      </c>
      <c r="E2" s="7">
        <f>$B2 * IFERROR(VLOOKUP("buildings|NOx|Premature mortality", US_national_yearly!$D:$AM, 13, FALSE) / VLOOKUP("buildings|NOx|Premature mortality", US_national_yearly!$D:$AM, 10, FALSE), 1)</f>
        <v>1.236655743659503E-4</v>
      </c>
      <c r="F2" s="7">
        <f>$B2 * IFERROR(VLOOKUP("buildings|NOx|Premature mortality", US_national_yearly!$D:$AM, 14, FALSE) / VLOOKUP("buildings|NOx|Premature mortality", US_national_yearly!$D:$AM, 10, FALSE), 1)</f>
        <v>1.2540766081630515E-4</v>
      </c>
      <c r="G2" s="7">
        <f>$B2 * IFERROR(VLOOKUP("buildings|NOx|Premature mortality", US_national_yearly!$D:$AM, 15, FALSE) / VLOOKUP("buildings|NOx|Premature mortality", US_national_yearly!$D:$AM, 10, FALSE), 1)</f>
        <v>1.2853533727510917E-4</v>
      </c>
      <c r="H2" s="7">
        <f>$B2 * IFERROR(VLOOKUP("buildings|NOx|Premature mortality", US_national_yearly!$D:$AM, 16, FALSE) / VLOOKUP("buildings|NOx|Premature mortality", US_national_yearly!$D:$AM, 10, FALSE), 1)</f>
        <v>1.3166301373391322E-4</v>
      </c>
      <c r="I2" s="7">
        <f>$B2 * IFERROR(VLOOKUP("buildings|NOx|Premature mortality", US_national_yearly!$D:$AM, 17, FALSE) / VLOOKUP("buildings|NOx|Premature mortality", US_national_yearly!$D:$AM, 10, FALSE), 1)</f>
        <v>1.3368428674283303E-4</v>
      </c>
      <c r="J2" s="7">
        <f>$B2 * IFERROR(VLOOKUP("buildings|NOx|Premature mortality", US_national_yearly!$D:$AM, 18, FALSE) / VLOOKUP("buildings|NOx|Premature mortality", US_national_yearly!$D:$AM, 10, FALSE), 1)</f>
        <v>1.357055597517528E-4</v>
      </c>
      <c r="K2" s="7">
        <f>$B2 * IFERROR(VLOOKUP("buildings|NOx|Premature mortality", US_national_yearly!$D:$AM, 19, FALSE) / VLOOKUP("buildings|NOx|Premature mortality", US_national_yearly!$D:$AM, 10, FALSE), 1)</f>
        <v>1.3772683276067264E-4</v>
      </c>
      <c r="L2" s="7">
        <f>$B2 * IFERROR(VLOOKUP("buildings|NOx|Premature mortality", US_national_yearly!$D:$AM, 20, FALSE) / VLOOKUP("buildings|NOx|Premature mortality", US_national_yearly!$D:$AM, 10, FALSE), 1)</f>
        <v>1.3974810576959244E-4</v>
      </c>
      <c r="M2" s="7">
        <f>$B2 * IFERROR(VLOOKUP("buildings|NOx|Premature mortality", US_national_yearly!$D:$AM, 21, FALSE) / VLOOKUP("buildings|NOx|Premature mortality", US_national_yearly!$D:$AM, 10, FALSE), 1)</f>
        <v>1.4176937877851225E-4</v>
      </c>
      <c r="N2" s="7">
        <f>$B2 * IFERROR(VLOOKUP("buildings|NOx|Premature mortality", US_national_yearly!$D:$AM, 22, FALSE) / VLOOKUP("buildings|NOx|Premature mortality", US_national_yearly!$D:$AM, 10, FALSE), 1)</f>
        <v>1.4326706491988296E-4</v>
      </c>
      <c r="O2" s="7">
        <f>$B2 * IFERROR(VLOOKUP("buildings|NOx|Premature mortality", US_national_yearly!$D:$AM, 23, FALSE) / VLOOKUP("buildings|NOx|Premature mortality", US_national_yearly!$D:$AM, 10, FALSE), 1)</f>
        <v>1.4476475106125369E-4</v>
      </c>
      <c r="P2" s="7">
        <f>$B2 * IFERROR(VLOOKUP("buildings|NOx|Premature mortality", US_national_yearly!$D:$AM, 24, FALSE) / VLOOKUP("buildings|NOx|Premature mortality", US_national_yearly!$D:$AM, 10, FALSE), 1)</f>
        <v>1.4626243720262442E-4</v>
      </c>
      <c r="Q2" s="7">
        <f>$B2 * IFERROR(VLOOKUP("buildings|NOx|Premature mortality", US_national_yearly!$D:$AM, 25, FALSE) / VLOOKUP("buildings|NOx|Premature mortality", US_national_yearly!$D:$AM, 10, FALSE), 1)</f>
        <v>1.4776012334399513E-4</v>
      </c>
      <c r="R2" s="7">
        <f>$B2 * IFERROR(VLOOKUP("buildings|NOx|Premature mortality", US_national_yearly!$D:$AM, 26, FALSE) / VLOOKUP("buildings|NOx|Premature mortality", US_national_yearly!$D:$AM, 10, FALSE), 1)</f>
        <v>1.4925780948536583E-4</v>
      </c>
      <c r="S2" s="7">
        <f>$B2 * IFERROR(VLOOKUP("buildings|NOx|Premature mortality", US_national_yearly!$D:$AM, 27, FALSE) / VLOOKUP("buildings|NOx|Premature mortality", US_national_yearly!$D:$AM, 10, FALSE), 1)</f>
        <v>1.4993871665253515E-4</v>
      </c>
      <c r="T2" s="7">
        <f>$B2 * IFERROR(VLOOKUP("buildings|NOx|Premature mortality", US_national_yearly!$D:$AM, 28, FALSE) / VLOOKUP("buildings|NOx|Premature mortality", US_national_yearly!$D:$AM, 10, FALSE), 1)</f>
        <v>1.5061962381970445E-4</v>
      </c>
      <c r="U2" s="7">
        <f>$B2 * IFERROR(VLOOKUP("buildings|NOx|Premature mortality", US_national_yearly!$D:$AM, 29, FALSE) / VLOOKUP("buildings|NOx|Premature mortality", US_national_yearly!$D:$AM, 10, FALSE), 1)</f>
        <v>1.5130053098687374E-4</v>
      </c>
      <c r="V2" s="7">
        <f>$B2 * IFERROR(VLOOKUP("buildings|NOx|Premature mortality", US_national_yearly!$D:$AM, 30, FALSE) / VLOOKUP("buildings|NOx|Premature mortality", US_national_yearly!$D:$AM, 10, FALSE), 1)</f>
        <v>1.5198143815404306E-4</v>
      </c>
      <c r="W2" s="7">
        <f>$B2 * IFERROR(VLOOKUP("buildings|NOx|Premature mortality", US_national_yearly!$D:$AM, 31, FALSE) / VLOOKUP("buildings|NOx|Premature mortality", US_national_yearly!$D:$AM, 10, FALSE), 1)</f>
        <v>1.5266234532121235E-4</v>
      </c>
      <c r="X2" s="7">
        <f>$B2 * IFERROR(VLOOKUP("buildings|NOx|Premature mortality", US_national_yearly!$D:$AM, 32, FALSE) / VLOOKUP("buildings|NOx|Premature mortality", US_national_yearly!$D:$AM, 10, FALSE), 1)</f>
        <v>1.5268632631658592E-4</v>
      </c>
      <c r="Y2" s="7">
        <f>$B2 * IFERROR(VLOOKUP("buildings|NOx|Premature mortality", US_national_yearly!$D:$AM, 33, FALSE) / VLOOKUP("buildings|NOx|Premature mortality", US_national_yearly!$D:$AM, 10, FALSE), 1)</f>
        <v>1.5271030731195948E-4</v>
      </c>
      <c r="Z2" s="7">
        <f>$B2 * IFERROR(VLOOKUP("buildings|NOx|Premature mortality", US_national_yearly!$D:$AM, 34, FALSE) / VLOOKUP("buildings|NOx|Premature mortality", US_national_yearly!$D:$AM, 10, FALSE), 1)</f>
        <v>1.5273428830733305E-4</v>
      </c>
      <c r="AA2" s="7">
        <f>$B2 * IFERROR(VLOOKUP("buildings|NOx|Premature mortality", US_national_yearly!$D:$AM, 35, FALSE) / VLOOKUP("buildings|NOx|Premature mortality", US_national_yearly!$D:$AM, 10, FALSE), 1)</f>
        <v>1.5275826930270659E-4</v>
      </c>
      <c r="AB2" s="7">
        <f>$B2 * IFERROR(VLOOKUP("buildings|NOx|Premature mortality", US_national_yearly!$D:$AM, 36, FALSE) / VLOOKUP("buildings|NOx|Premature mortality", US_national_yearly!$D:$AM, 10, FALSE), 1)</f>
        <v>1.5278225029808016E-4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3.8955824179324273E-7</v>
      </c>
      <c r="C3" s="7">
        <f>$B3 * IFERROR(VLOOKUP("buildings|NOx|Infant mortality", US_national_yearly!$D:$AM, 11, FALSE) / VLOOKUP("buildings|NOx|Infant mortality", US_national_yearly!$D:$AM, 10, FALSE), 1)</f>
        <v>3.8585789569600277E-7</v>
      </c>
      <c r="D3" s="7">
        <f>$B3 * IFERROR(VLOOKUP("buildings|NOx|Infant mortality", US_national_yearly!$D:$AM, 12, FALSE) / VLOOKUP("buildings|NOx|Infant mortality", US_national_yearly!$D:$AM, 10, FALSE), 1)</f>
        <v>3.8215754959876275E-7</v>
      </c>
      <c r="E3" s="7">
        <f>$B3 * IFERROR(VLOOKUP("buildings|NOx|Infant mortality", US_national_yearly!$D:$AM, 13, FALSE) / VLOOKUP("buildings|NOx|Infant mortality", US_national_yearly!$D:$AM, 10, FALSE), 1)</f>
        <v>3.7845720350152279E-7</v>
      </c>
      <c r="F3" s="7">
        <f>$B3 * IFERROR(VLOOKUP("buildings|NOx|Infant mortality", US_national_yearly!$D:$AM, 14, FALSE) / VLOOKUP("buildings|NOx|Infant mortality", US_national_yearly!$D:$AM, 10, FALSE), 1)</f>
        <v>3.7475685740428272E-7</v>
      </c>
      <c r="G3" s="7">
        <f>$B3 * IFERROR(VLOOKUP("buildings|NOx|Infant mortality", US_national_yearly!$D:$AM, 15, FALSE) / VLOOKUP("buildings|NOx|Infant mortality", US_national_yearly!$D:$AM, 10, FALSE), 1)</f>
        <v>2.4874015981264853E-7</v>
      </c>
      <c r="H3" s="7">
        <f>$B3 * IFERROR(VLOOKUP("buildings|NOx|Infant mortality", US_national_yearly!$D:$AM, 16, FALSE) / VLOOKUP("buildings|NOx|Infant mortality", US_national_yearly!$D:$AM, 10, FALSE), 1)</f>
        <v>1.2272346222101431E-7</v>
      </c>
      <c r="I3" s="7">
        <f>$B3 * IFERROR(VLOOKUP("buildings|NOx|Infant mortality", US_national_yearly!$D:$AM, 17, FALSE) / VLOOKUP("buildings|NOx|Infant mortality", US_national_yearly!$D:$AM, 10, FALSE), 1)</f>
        <v>1.2185647515798645E-7</v>
      </c>
      <c r="J3" s="7">
        <f>$B3 * IFERROR(VLOOKUP("buildings|NOx|Infant mortality", US_national_yearly!$D:$AM, 18, FALSE) / VLOOKUP("buildings|NOx|Infant mortality", US_national_yearly!$D:$AM, 10, FALSE), 1)</f>
        <v>1.2098948809495853E-7</v>
      </c>
      <c r="K3" s="7">
        <f>$B3 * IFERROR(VLOOKUP("buildings|NOx|Infant mortality", US_national_yearly!$D:$AM, 19, FALSE) / VLOOKUP("buildings|NOx|Infant mortality", US_national_yearly!$D:$AM, 10, FALSE), 1)</f>
        <v>1.2012250103193067E-7</v>
      </c>
      <c r="L3" s="7">
        <f>$B3 * IFERROR(VLOOKUP("buildings|NOx|Infant mortality", US_national_yearly!$D:$AM, 20, FALSE) / VLOOKUP("buildings|NOx|Infant mortality", US_national_yearly!$D:$AM, 10, FALSE), 1)</f>
        <v>1.192555139689028E-7</v>
      </c>
      <c r="M3" s="7">
        <f>$B3 * IFERROR(VLOOKUP("buildings|NOx|Infant mortality", US_national_yearly!$D:$AM, 21, FALSE) / VLOOKUP("buildings|NOx|Infant mortality", US_national_yearly!$D:$AM, 10, FALSE), 1)</f>
        <v>1.183885269058749E-7</v>
      </c>
      <c r="N3" s="7">
        <f>$B3 * IFERROR(VLOOKUP("buildings|NOx|Infant mortality", US_national_yearly!$D:$AM, 22, FALSE) / VLOOKUP("buildings|NOx|Infant mortality", US_national_yearly!$D:$AM, 10, FALSE), 1)</f>
        <v>1.1781402312174857E-7</v>
      </c>
      <c r="O3" s="7">
        <f>$B3 * IFERROR(VLOOKUP("buildings|NOx|Infant mortality", US_national_yearly!$D:$AM, 23, FALSE) / VLOOKUP("buildings|NOx|Infant mortality", US_national_yearly!$D:$AM, 10, FALSE), 1)</f>
        <v>1.1723951933762224E-7</v>
      </c>
      <c r="P3" s="7">
        <f>$B3 * IFERROR(VLOOKUP("buildings|NOx|Infant mortality", US_national_yearly!$D:$AM, 24, FALSE) / VLOOKUP("buildings|NOx|Infant mortality", US_national_yearly!$D:$AM, 10, FALSE), 1)</f>
        <v>1.1666501555349591E-7</v>
      </c>
      <c r="Q3" s="7">
        <f>$B3 * IFERROR(VLOOKUP("buildings|NOx|Infant mortality", US_national_yearly!$D:$AM, 25, FALSE) / VLOOKUP("buildings|NOx|Infant mortality", US_national_yearly!$D:$AM, 10, FALSE), 1)</f>
        <v>1.160905117693696E-7</v>
      </c>
      <c r="R3" s="7">
        <f>$B3 * IFERROR(VLOOKUP("buildings|NOx|Infant mortality", US_national_yearly!$D:$AM, 26, FALSE) / VLOOKUP("buildings|NOx|Infant mortality", US_national_yearly!$D:$AM, 10, FALSE), 1)</f>
        <v>1.1551600798524327E-7</v>
      </c>
      <c r="S3" s="7">
        <f>$B3 * IFERROR(VLOOKUP("buildings|NOx|Infant mortality", US_national_yearly!$D:$AM, 27, FALSE) / VLOOKUP("buildings|NOx|Infant mortality", US_national_yearly!$D:$AM, 10, FALSE), 1)</f>
        <v>1.1482491662524893E-7</v>
      </c>
      <c r="T3" s="7">
        <f>$B3 * IFERROR(VLOOKUP("buildings|NOx|Infant mortality", US_national_yearly!$D:$AM, 28, FALSE) / VLOOKUP("buildings|NOx|Infant mortality", US_national_yearly!$D:$AM, 10, FALSE), 1)</f>
        <v>1.1413382526525461E-7</v>
      </c>
      <c r="U3" s="7">
        <f>$B3 * IFERROR(VLOOKUP("buildings|NOx|Infant mortality", US_national_yearly!$D:$AM, 29, FALSE) / VLOOKUP("buildings|NOx|Infant mortality", US_national_yearly!$D:$AM, 10, FALSE), 1)</f>
        <v>1.1344273390526027E-7</v>
      </c>
      <c r="V3" s="7">
        <f>$B3 * IFERROR(VLOOKUP("buildings|NOx|Infant mortality", US_national_yearly!$D:$AM, 30, FALSE) / VLOOKUP("buildings|NOx|Infant mortality", US_national_yearly!$D:$AM, 10, FALSE), 1)</f>
        <v>1.1275164254526593E-7</v>
      </c>
      <c r="W3" s="7">
        <f>$B3 * IFERROR(VLOOKUP("buildings|NOx|Infant mortality", US_national_yearly!$D:$AM, 31, FALSE) / VLOOKUP("buildings|NOx|Infant mortality", US_national_yearly!$D:$AM, 10, FALSE), 1)</f>
        <v>1.1206055118527162E-7</v>
      </c>
      <c r="X3" s="7">
        <f>$B3 * IFERROR(VLOOKUP("buildings|NOx|Infant mortality", US_national_yearly!$D:$AM, 32, FALSE) / VLOOKUP("buildings|NOx|Infant mortality", US_national_yearly!$D:$AM, 10, FALSE), 1)</f>
        <v>1.1132931595629712E-7</v>
      </c>
      <c r="Y3" s="7">
        <f>$B3 * IFERROR(VLOOKUP("buildings|NOx|Infant mortality", US_national_yearly!$D:$AM, 33, FALSE) / VLOOKUP("buildings|NOx|Infant mortality", US_national_yearly!$D:$AM, 10, FALSE), 1)</f>
        <v>1.1059808072732264E-7</v>
      </c>
      <c r="Z3" s="7">
        <f>$B3 * IFERROR(VLOOKUP("buildings|NOx|Infant mortality", US_national_yearly!$D:$AM, 34, FALSE) / VLOOKUP("buildings|NOx|Infant mortality", US_national_yearly!$D:$AM, 10, FALSE), 1)</f>
        <v>1.0986684549834814E-7</v>
      </c>
      <c r="AA3" s="7">
        <f>$B3 * IFERROR(VLOOKUP("buildings|NOx|Infant mortality", US_national_yearly!$D:$AM, 35, FALSE) / VLOOKUP("buildings|NOx|Infant mortality", US_national_yearly!$D:$AM, 10, FALSE), 1)</f>
        <v>1.0913561026937364E-7</v>
      </c>
      <c r="AB3" s="7">
        <f>$B3 * IFERROR(VLOOKUP("buildings|NOx|Infant mortality", US_national_yearly!$D:$AM, 36, FALSE) / VLOOKUP("buildings|NOx|Infant mortality", US_national_yearly!$D:$AM, 10, FALSE), 1)</f>
        <v>1.0840437504039914E-7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3.7658628637779327E-4</v>
      </c>
      <c r="C6" s="7">
        <f>$B6 * IFERROR(VLOOKUP("buildings|NOx|Asthma symptoms cough", US_national_yearly!$D:$AM, 11, FALSE) / VLOOKUP("buildings|NOx|Asthma symptoms cough", US_national_yearly!$D:$AM, 10, FALSE), 1)</f>
        <v>3.8173997228201485E-4</v>
      </c>
      <c r="D6" s="7">
        <f>$B6 * IFERROR(VLOOKUP("buildings|NOx|Asthma symptoms cough", US_national_yearly!$D:$AM, 12, FALSE) / VLOOKUP("buildings|NOx|Asthma symptoms cough", US_national_yearly!$D:$AM, 10, FALSE), 1)</f>
        <v>3.8689365818623649E-4</v>
      </c>
      <c r="E6" s="7">
        <f>$B6 * IFERROR(VLOOKUP("buildings|NOx|Asthma symptoms cough", US_national_yearly!$D:$AM, 13, FALSE) / VLOOKUP("buildings|NOx|Asthma symptoms cough", US_national_yearly!$D:$AM, 10, FALSE), 1)</f>
        <v>3.9204734409045808E-4</v>
      </c>
      <c r="F6" s="7">
        <f>$B6 * IFERROR(VLOOKUP("buildings|NOx|Asthma symptoms cough", US_national_yearly!$D:$AM, 14, FALSE) / VLOOKUP("buildings|NOx|Asthma symptoms cough", US_national_yearly!$D:$AM, 10, FALSE), 1)</f>
        <v>3.9720102999467967E-4</v>
      </c>
      <c r="G6" s="7">
        <f>$B6 * IFERROR(VLOOKUP("buildings|NOx|Asthma symptoms cough", US_national_yearly!$D:$AM, 15, FALSE) / VLOOKUP("buildings|NOx|Asthma symptoms cough", US_national_yearly!$D:$AM, 10, FALSE), 1)</f>
        <v>4.0131979072783182E-4</v>
      </c>
      <c r="H6" s="7">
        <f>$B6 * IFERROR(VLOOKUP("buildings|NOx|Asthma symptoms cough", US_national_yearly!$D:$AM, 16, FALSE) / VLOOKUP("buildings|NOx|Asthma symptoms cough", US_national_yearly!$D:$AM, 10, FALSE), 1)</f>
        <v>4.0543855146098391E-4</v>
      </c>
      <c r="I6" s="7">
        <f>$B6 * IFERROR(VLOOKUP("buildings|NOx|Asthma symptoms cough", US_national_yearly!$D:$AM, 17, FALSE) / VLOOKUP("buildings|NOx|Asthma symptoms cough", US_national_yearly!$D:$AM, 10, FALSE), 1)</f>
        <v>4.0686393290372095E-4</v>
      </c>
      <c r="J6" s="7">
        <f>$B6 * IFERROR(VLOOKUP("buildings|NOx|Asthma symptoms cough", US_national_yearly!$D:$AM, 18, FALSE) / VLOOKUP("buildings|NOx|Asthma symptoms cough", US_national_yearly!$D:$AM, 10, FALSE), 1)</f>
        <v>4.0828931434645798E-4</v>
      </c>
      <c r="K6" s="7">
        <f>$B6 * IFERROR(VLOOKUP("buildings|NOx|Asthma symptoms cough", US_national_yearly!$D:$AM, 19, FALSE) / VLOOKUP("buildings|NOx|Asthma symptoms cough", US_national_yearly!$D:$AM, 10, FALSE), 1)</f>
        <v>4.0971469578919491E-4</v>
      </c>
      <c r="L6" s="7">
        <f>$B6 * IFERROR(VLOOKUP("buildings|NOx|Asthma symptoms cough", US_national_yearly!$D:$AM, 20, FALSE) / VLOOKUP("buildings|NOx|Asthma symptoms cough", US_national_yearly!$D:$AM, 10, FALSE), 1)</f>
        <v>4.1114007723193195E-4</v>
      </c>
      <c r="M6" s="7">
        <f>$B6 * IFERROR(VLOOKUP("buildings|NOx|Asthma symptoms cough", US_national_yearly!$D:$AM, 21, FALSE) / VLOOKUP("buildings|NOx|Asthma symptoms cough", US_national_yearly!$D:$AM, 10, FALSE), 1)</f>
        <v>4.1256545867466893E-4</v>
      </c>
      <c r="N6" s="7">
        <f>$B6 * IFERROR(VLOOKUP("buildings|NOx|Asthma symptoms cough", US_national_yearly!$D:$AM, 22, FALSE) / VLOOKUP("buildings|NOx|Asthma symptoms cough", US_national_yearly!$D:$AM, 10, FALSE), 1)</f>
        <v>4.1421364478132347E-4</v>
      </c>
      <c r="O6" s="7">
        <f>$B6 * IFERROR(VLOOKUP("buildings|NOx|Asthma symptoms cough", US_national_yearly!$D:$AM, 23, FALSE) / VLOOKUP("buildings|NOx|Asthma symptoms cough", US_national_yearly!$D:$AM, 10, FALSE), 1)</f>
        <v>4.1586183088797795E-4</v>
      </c>
      <c r="P6" s="7">
        <f>$B6 * IFERROR(VLOOKUP("buildings|NOx|Asthma symptoms cough", US_national_yearly!$D:$AM, 24, FALSE) / VLOOKUP("buildings|NOx|Asthma symptoms cough", US_national_yearly!$D:$AM, 10, FALSE), 1)</f>
        <v>4.1751001699463243E-4</v>
      </c>
      <c r="Q6" s="7">
        <f>$B6 * IFERROR(VLOOKUP("buildings|NOx|Asthma symptoms cough", US_national_yearly!$D:$AM, 25, FALSE) / VLOOKUP("buildings|NOx|Asthma symptoms cough", US_national_yearly!$D:$AM, 10, FALSE), 1)</f>
        <v>4.1915820310128702E-4</v>
      </c>
      <c r="R6" s="7">
        <f>$B6 * IFERROR(VLOOKUP("buildings|NOx|Asthma symptoms cough", US_national_yearly!$D:$AM, 26, FALSE) / VLOOKUP("buildings|NOx|Asthma symptoms cough", US_national_yearly!$D:$AM, 10, FALSE), 1)</f>
        <v>4.2080638920794151E-4</v>
      </c>
      <c r="S6" s="7">
        <f>$B6 * IFERROR(VLOOKUP("buildings|NOx|Asthma symptoms cough", US_national_yearly!$D:$AM, 27, FALSE) / VLOOKUP("buildings|NOx|Asthma symptoms cough", US_national_yearly!$D:$AM, 10, FALSE), 1)</f>
        <v>4.2295895519280677E-4</v>
      </c>
      <c r="T6" s="7">
        <f>$B6 * IFERROR(VLOOKUP("buildings|NOx|Asthma symptoms cough", US_national_yearly!$D:$AM, 28, FALSE) / VLOOKUP("buildings|NOx|Asthma symptoms cough", US_national_yearly!$D:$AM, 10, FALSE), 1)</f>
        <v>4.2511152117767186E-4</v>
      </c>
      <c r="U6" s="7">
        <f>$B6 * IFERROR(VLOOKUP("buildings|NOx|Asthma symptoms cough", US_national_yearly!$D:$AM, 29, FALSE) / VLOOKUP("buildings|NOx|Asthma symptoms cough", US_national_yearly!$D:$AM, 10, FALSE), 1)</f>
        <v>4.2726408716253702E-4</v>
      </c>
      <c r="V6" s="7">
        <f>$B6 * IFERROR(VLOOKUP("buildings|NOx|Asthma symptoms cough", US_national_yearly!$D:$AM, 30, FALSE) / VLOOKUP("buildings|NOx|Asthma symptoms cough", US_national_yearly!$D:$AM, 10, FALSE), 1)</f>
        <v>4.2941665314740233E-4</v>
      </c>
      <c r="W6" s="7">
        <f>$B6 * IFERROR(VLOOKUP("buildings|NOx|Asthma symptoms cough", US_national_yearly!$D:$AM, 31, FALSE) / VLOOKUP("buildings|NOx|Asthma symptoms cough", US_national_yearly!$D:$AM, 10, FALSE), 1)</f>
        <v>4.3156921913226748E-4</v>
      </c>
      <c r="X6" s="7">
        <f>$B6 * IFERROR(VLOOKUP("buildings|NOx|Asthma symptoms cough", US_national_yearly!$D:$AM, 32, FALSE) / VLOOKUP("buildings|NOx|Asthma symptoms cough", US_national_yearly!$D:$AM, 10, FALSE), 1)</f>
        <v>4.3356924913102172E-4</v>
      </c>
      <c r="Y6" s="7">
        <f>$B6 * IFERROR(VLOOKUP("buildings|NOx|Asthma symptoms cough", US_national_yearly!$D:$AM, 33, FALSE) / VLOOKUP("buildings|NOx|Asthma symptoms cough", US_national_yearly!$D:$AM, 10, FALSE), 1)</f>
        <v>4.35569279129776E-4</v>
      </c>
      <c r="Z6" s="7">
        <f>$B6 * IFERROR(VLOOKUP("buildings|NOx|Asthma symptoms cough", US_national_yearly!$D:$AM, 34, FALSE) / VLOOKUP("buildings|NOx|Asthma symptoms cough", US_national_yearly!$D:$AM, 10, FALSE), 1)</f>
        <v>4.3756930912853035E-4</v>
      </c>
      <c r="AA6" s="7">
        <f>$B6 * IFERROR(VLOOKUP("buildings|NOx|Asthma symptoms cough", US_national_yearly!$D:$AM, 35, FALSE) / VLOOKUP("buildings|NOx|Asthma symptoms cough", US_national_yearly!$D:$AM, 10, FALSE), 1)</f>
        <v>4.3956933912728464E-4</v>
      </c>
      <c r="AB6" s="7">
        <f>$B6 * IFERROR(VLOOKUP("buildings|NOx|Asthma symptoms cough", US_national_yearly!$D:$AM, 36, FALSE) / VLOOKUP("buildings|NOx|Asthma symptoms cough", US_national_yearly!$D:$AM, 10, FALSE), 1)</f>
        <v>4.4156936912603893E-4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5.07128404370715E-4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5.1406859470319154E-4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5.2100878503566798E-4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5.2794897536814452E-4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5.3488916570062096E-4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5.4043567821557238E-4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5.459821907305238E-4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5.4790167487756935E-4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5.4982115902461469E-4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5.5174064317166035E-4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5.5366012731870591E-4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5.5557961146575135E-4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5.5779913461891366E-4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5.6001865777207597E-4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5.6223818092523829E-4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5.6445770407840049E-4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5.666772272315628E-4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5.695759715220656E-4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5.724747158125683E-4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5.753734601030711E-4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5.782722043935738E-4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5.811709486840766E-4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5.8386428100321377E-4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5.8655761332235083E-4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5.8925094564148801E-4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5.9194427796062496E-4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5.9463761027976213E-4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7.7480509789888978E-4</v>
      </c>
      <c r="C8" s="7">
        <f>$B8 * IFERROR(VLOOKUP("buildings|NOx|Asthma symptoms wheeze", US_national_yearly!$D:$AM, 11, FALSE) / VLOOKUP("buildings|NOx|Asthma symptoms wheeze", US_national_yearly!$D:$AM, 10, FALSE), 1)</f>
        <v>7.8540851671040799E-4</v>
      </c>
      <c r="D8" s="7">
        <f>$B8 * IFERROR(VLOOKUP("buildings|NOx|Asthma symptoms wheeze", US_national_yearly!$D:$AM, 12, FALSE) / VLOOKUP("buildings|NOx|Asthma symptoms wheeze", US_national_yearly!$D:$AM, 10, FALSE), 1)</f>
        <v>7.960119355219261E-4</v>
      </c>
      <c r="E8" s="7">
        <f>$B8 * IFERROR(VLOOKUP("buildings|NOx|Asthma symptoms wheeze", US_national_yearly!$D:$AM, 13, FALSE) / VLOOKUP("buildings|NOx|Asthma symptoms wheeze", US_national_yearly!$D:$AM, 10, FALSE), 1)</f>
        <v>8.066153543334441E-4</v>
      </c>
      <c r="F8" s="7">
        <f>$B8 * IFERROR(VLOOKUP("buildings|NOx|Asthma symptoms wheeze", US_national_yearly!$D:$AM, 14, FALSE) / VLOOKUP("buildings|NOx|Asthma symptoms wheeze", US_national_yearly!$D:$AM, 10, FALSE), 1)</f>
        <v>8.1721877314496253E-4</v>
      </c>
      <c r="G8" s="7">
        <f>$B8 * IFERROR(VLOOKUP("buildings|NOx|Asthma symptoms wheeze", US_national_yearly!$D:$AM, 15, FALSE) / VLOOKUP("buildings|NOx|Asthma symptoms wheeze", US_national_yearly!$D:$AM, 10, FALSE), 1)</f>
        <v>8.2569289164006381E-4</v>
      </c>
      <c r="H8" s="7">
        <f>$B8 * IFERROR(VLOOKUP("buildings|NOx|Asthma symptoms wheeze", US_national_yearly!$D:$AM, 16, FALSE) / VLOOKUP("buildings|NOx|Asthma symptoms wheeze", US_national_yearly!$D:$AM, 10, FALSE), 1)</f>
        <v>8.3416701013516508E-4</v>
      </c>
      <c r="I8" s="7">
        <f>$B8 * IFERROR(VLOOKUP("buildings|NOx|Asthma symptoms wheeze", US_national_yearly!$D:$AM, 17, FALSE) / VLOOKUP("buildings|NOx|Asthma symptoms wheeze", US_national_yearly!$D:$AM, 10, FALSE), 1)</f>
        <v>8.3709965226489867E-4</v>
      </c>
      <c r="J8" s="7">
        <f>$B8 * IFERROR(VLOOKUP("buildings|NOx|Asthma symptoms wheeze", US_national_yearly!$D:$AM, 18, FALSE) / VLOOKUP("buildings|NOx|Asthma symptoms wheeze", US_national_yearly!$D:$AM, 10, FALSE), 1)</f>
        <v>8.4003229439463204E-4</v>
      </c>
      <c r="K8" s="7">
        <f>$B8 * IFERROR(VLOOKUP("buildings|NOx|Asthma symptoms wheeze", US_national_yearly!$D:$AM, 19, FALSE) / VLOOKUP("buildings|NOx|Asthma symptoms wheeze", US_national_yearly!$D:$AM, 10, FALSE), 1)</f>
        <v>8.4296493652436552E-4</v>
      </c>
      <c r="L8" s="7">
        <f>$B8 * IFERROR(VLOOKUP("buildings|NOx|Asthma symptoms wheeze", US_national_yearly!$D:$AM, 20, FALSE) / VLOOKUP("buildings|NOx|Asthma symptoms wheeze", US_national_yearly!$D:$AM, 10, FALSE), 1)</f>
        <v>8.45897578654099E-4</v>
      </c>
      <c r="M8" s="7">
        <f>$B8 * IFERROR(VLOOKUP("buildings|NOx|Asthma symptoms wheeze", US_national_yearly!$D:$AM, 21, FALSE) / VLOOKUP("buildings|NOx|Asthma symptoms wheeze", US_national_yearly!$D:$AM, 10, FALSE), 1)</f>
        <v>8.4883022078383258E-4</v>
      </c>
      <c r="N8" s="7">
        <f>$B8 * IFERROR(VLOOKUP("buildings|NOx|Asthma symptoms wheeze", US_national_yearly!$D:$AM, 22, FALSE) / VLOOKUP("buildings|NOx|Asthma symptoms wheeze", US_national_yearly!$D:$AM, 10, FALSE), 1)</f>
        <v>8.5222127097522133E-4</v>
      </c>
      <c r="O8" s="7">
        <f>$B8 * IFERROR(VLOOKUP("buildings|NOx|Asthma symptoms wheeze", US_national_yearly!$D:$AM, 23, FALSE) / VLOOKUP("buildings|NOx|Asthma symptoms wheeze", US_national_yearly!$D:$AM, 10, FALSE), 1)</f>
        <v>8.5561232116661019E-4</v>
      </c>
      <c r="P8" s="7">
        <f>$B8 * IFERROR(VLOOKUP("buildings|NOx|Asthma symptoms wheeze", US_national_yearly!$D:$AM, 24, FALSE) / VLOOKUP("buildings|NOx|Asthma symptoms wheeze", US_national_yearly!$D:$AM, 10, FALSE), 1)</f>
        <v>8.5900337135799893E-4</v>
      </c>
      <c r="Q8" s="7">
        <f>$B8 * IFERROR(VLOOKUP("buildings|NOx|Asthma symptoms wheeze", US_national_yearly!$D:$AM, 25, FALSE) / VLOOKUP("buildings|NOx|Asthma symptoms wheeze", US_national_yearly!$D:$AM, 10, FALSE), 1)</f>
        <v>8.6239442154938779E-4</v>
      </c>
      <c r="R8" s="7">
        <f>$B8 * IFERROR(VLOOKUP("buildings|NOx|Asthma symptoms wheeze", US_national_yearly!$D:$AM, 26, FALSE) / VLOOKUP("buildings|NOx|Asthma symptoms wheeze", US_national_yearly!$D:$AM, 10, FALSE), 1)</f>
        <v>8.6578547174077653E-4</v>
      </c>
      <c r="S8" s="7">
        <f>$B8 * IFERROR(VLOOKUP("buildings|NOx|Asthma symptoms wheeze", US_national_yearly!$D:$AM, 27, FALSE) / VLOOKUP("buildings|NOx|Asthma symptoms wheeze", US_national_yearly!$D:$AM, 10, FALSE), 1)</f>
        <v>8.702142551574104E-4</v>
      </c>
      <c r="T8" s="7">
        <f>$B8 * IFERROR(VLOOKUP("buildings|NOx|Asthma symptoms wheeze", US_national_yearly!$D:$AM, 28, FALSE) / VLOOKUP("buildings|NOx|Asthma symptoms wheeze", US_national_yearly!$D:$AM, 10, FALSE), 1)</f>
        <v>8.7464303857404417E-4</v>
      </c>
      <c r="U8" s="7">
        <f>$B8 * IFERROR(VLOOKUP("buildings|NOx|Asthma symptoms wheeze", US_national_yearly!$D:$AM, 29, FALSE) / VLOOKUP("buildings|NOx|Asthma symptoms wheeze", US_national_yearly!$D:$AM, 10, FALSE), 1)</f>
        <v>8.7907182199067793E-4</v>
      </c>
      <c r="V8" s="7">
        <f>$B8 * IFERROR(VLOOKUP("buildings|NOx|Asthma symptoms wheeze", US_national_yearly!$D:$AM, 30, FALSE) / VLOOKUP("buildings|NOx|Asthma symptoms wheeze", US_national_yearly!$D:$AM, 10, FALSE), 1)</f>
        <v>8.835006054073118E-4</v>
      </c>
      <c r="W8" s="7">
        <f>$B8 * IFERROR(VLOOKUP("buildings|NOx|Asthma symptoms wheeze", US_national_yearly!$D:$AM, 31, FALSE) / VLOOKUP("buildings|NOx|Asthma symptoms wheeze", US_national_yearly!$D:$AM, 10, FALSE), 1)</f>
        <v>8.8792938882394556E-4</v>
      </c>
      <c r="X8" s="7">
        <f>$B8 * IFERROR(VLOOKUP("buildings|NOx|Asthma symptoms wheeze", US_national_yearly!$D:$AM, 32, FALSE) / VLOOKUP("buildings|NOx|Asthma symptoms wheeze", US_national_yearly!$D:$AM, 10, FALSE), 1)</f>
        <v>8.9204433803060756E-4</v>
      </c>
      <c r="Y8" s="7">
        <f>$B8 * IFERROR(VLOOKUP("buildings|NOx|Asthma symptoms wheeze", US_national_yearly!$D:$AM, 33, FALSE) / VLOOKUP("buildings|NOx|Asthma symptoms wheeze", US_national_yearly!$D:$AM, 10, FALSE), 1)</f>
        <v>8.9615928723726945E-4</v>
      </c>
      <c r="Z8" s="7">
        <f>$B8 * IFERROR(VLOOKUP("buildings|NOx|Asthma symptoms wheeze", US_national_yearly!$D:$AM, 34, FALSE) / VLOOKUP("buildings|NOx|Asthma symptoms wheeze", US_national_yearly!$D:$AM, 10, FALSE), 1)</f>
        <v>9.0027423644393166E-4</v>
      </c>
      <c r="AA8" s="7">
        <f>$B8 * IFERROR(VLOOKUP("buildings|NOx|Asthma symptoms wheeze", US_national_yearly!$D:$AM, 35, FALSE) / VLOOKUP("buildings|NOx|Asthma symptoms wheeze", US_national_yearly!$D:$AM, 10, FALSE), 1)</f>
        <v>9.0438918565059355E-4</v>
      </c>
      <c r="AB8" s="7">
        <f>$B8 * IFERROR(VLOOKUP("buildings|NOx|Asthma symptoms wheeze", US_national_yearly!$D:$AM, 36, FALSE) / VLOOKUP("buildings|NOx|Asthma symptoms wheeze", US_national_yearly!$D:$AM, 10, FALSE), 1)</f>
        <v>9.0850413485725565E-4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9.6732892051063E-6</v>
      </c>
      <c r="C12" s="7">
        <f>$B12 * IFERROR(VLOOKUP("buildings|NOx|Respiratory hospital admissions", US_national_yearly!$D:$AM, 11, FALSE) / VLOOKUP("buildings|NOx|Respiratory hospital admissions", US_national_yearly!$D:$AM, 10, FALSE), 1)</f>
        <v>9.9149700529936884E-6</v>
      </c>
      <c r="D12" s="7">
        <f>$B12 * IFERROR(VLOOKUP("buildings|NOx|Respiratory hospital admissions", US_national_yearly!$D:$AM, 12, FALSE) / VLOOKUP("buildings|NOx|Respiratory hospital admissions", US_national_yearly!$D:$AM, 10, FALSE), 1)</f>
        <v>1.0156650900881075E-5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1.0398331748768463E-5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1.0640012596655852E-5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1.0871066841531934E-5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1.1102121086408012E-5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1.1298396223730903E-5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1.1494671361053793E-5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1.1690946498376684E-5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1.1887221635699575E-5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1.2083496773022465E-5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1.2214705622376342E-5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1.2345914471730219E-5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1.2477123321084096E-5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1.2608332170437974E-5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1.2739541019791849E-5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1.2809891231330881E-5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1.2880241442869914E-5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1.2950591654408946E-5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1.3020941865947979E-5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1.3091292077487009E-5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1.3139450116730586E-5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1.3187608155974162E-5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1.3235766195217742E-5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1.3283924234461317E-5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1.3332082273704895E-5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5.4365850642109749E-5</v>
      </c>
      <c r="C13" s="7">
        <f>$B13 * IFERROR(VLOOKUP("buildings|NOx|Non-fatal heart attacks", US_national_yearly!$D:$AM, 11, FALSE) / VLOOKUP("buildings|NOx|Non-fatal heart attacks", US_national_yearly!$D:$AM, 10, FALSE), 1)</f>
        <v>5.5921146784457278E-5</v>
      </c>
      <c r="D13" s="7">
        <f>$B13 * IFERROR(VLOOKUP("buildings|NOx|Non-fatal heart attacks", US_national_yearly!$D:$AM, 12, FALSE) / VLOOKUP("buildings|NOx|Non-fatal heart attacks", US_national_yearly!$D:$AM, 10, FALSE), 1)</f>
        <v>5.7476442926804829E-5</v>
      </c>
      <c r="E13" s="7">
        <f>$B13 * IFERROR(VLOOKUP("buildings|NOx|Non-fatal heart attacks", US_national_yearly!$D:$AM, 13, FALSE) / VLOOKUP("buildings|NOx|Non-fatal heart attacks", US_national_yearly!$D:$AM, 10, FALSE), 1)</f>
        <v>5.9031739069152359E-5</v>
      </c>
      <c r="F13" s="7">
        <f>$B13 * IFERROR(VLOOKUP("buildings|NOx|Non-fatal heart attacks", US_national_yearly!$D:$AM, 14, FALSE) / VLOOKUP("buildings|NOx|Non-fatal heart attacks", US_national_yearly!$D:$AM, 10, FALSE), 1)</f>
        <v>6.0587035211499889E-5</v>
      </c>
      <c r="G13" s="7">
        <f>$B13 * IFERROR(VLOOKUP("buildings|NOx|Non-fatal heart attacks", US_national_yearly!$D:$AM, 15, FALSE) / VLOOKUP("buildings|NOx|Non-fatal heart attacks", US_national_yearly!$D:$AM, 10, FALSE), 1)</f>
        <v>6.2040765284607653E-5</v>
      </c>
      <c r="H13" s="7">
        <f>$B13 * IFERROR(VLOOKUP("buildings|NOx|Non-fatal heart attacks", US_national_yearly!$D:$AM, 16, FALSE) / VLOOKUP("buildings|NOx|Non-fatal heart attacks", US_national_yearly!$D:$AM, 10, FALSE), 1)</f>
        <v>6.349449535771543E-5</v>
      </c>
      <c r="I13" s="7">
        <f>$B13 * IFERROR(VLOOKUP("buildings|NOx|Non-fatal heart attacks", US_national_yearly!$D:$AM, 17, FALSE) / VLOOKUP("buildings|NOx|Non-fatal heart attacks", US_national_yearly!$D:$AM, 10, FALSE), 1)</f>
        <v>6.4641383884666168E-5</v>
      </c>
      <c r="J13" s="7">
        <f>$B13 * IFERROR(VLOOKUP("buildings|NOx|Non-fatal heart attacks", US_national_yearly!$D:$AM, 18, FALSE) / VLOOKUP("buildings|NOx|Non-fatal heart attacks", US_national_yearly!$D:$AM, 10, FALSE), 1)</f>
        <v>6.5788272411616892E-5</v>
      </c>
      <c r="K13" s="7">
        <f>$B13 * IFERROR(VLOOKUP("buildings|NOx|Non-fatal heart attacks", US_national_yearly!$D:$AM, 19, FALSE) / VLOOKUP("buildings|NOx|Non-fatal heart attacks", US_national_yearly!$D:$AM, 10, FALSE), 1)</f>
        <v>6.6935160938567644E-5</v>
      </c>
      <c r="L13" s="7">
        <f>$B13 * IFERROR(VLOOKUP("buildings|NOx|Non-fatal heart attacks", US_national_yearly!$D:$AM, 20, FALSE) / VLOOKUP("buildings|NOx|Non-fatal heart attacks", US_national_yearly!$D:$AM, 10, FALSE), 1)</f>
        <v>6.8082049465518341E-5</v>
      </c>
      <c r="M13" s="7">
        <f>$B13 * IFERROR(VLOOKUP("buildings|NOx|Non-fatal heart attacks", US_national_yearly!$D:$AM, 21, FALSE) / VLOOKUP("buildings|NOx|Non-fatal heart attacks", US_national_yearly!$D:$AM, 10, FALSE), 1)</f>
        <v>6.9228937992469106E-5</v>
      </c>
      <c r="N13" s="7">
        <f>$B13 * IFERROR(VLOOKUP("buildings|NOx|Non-fatal heart attacks", US_national_yearly!$D:$AM, 22, FALSE) / VLOOKUP("buildings|NOx|Non-fatal heart attacks", US_national_yearly!$D:$AM, 10, FALSE), 1)</f>
        <v>6.9919170274800315E-5</v>
      </c>
      <c r="O13" s="7">
        <f>$B13 * IFERROR(VLOOKUP("buildings|NOx|Non-fatal heart attacks", US_national_yearly!$D:$AM, 23, FALSE) / VLOOKUP("buildings|NOx|Non-fatal heart attacks", US_national_yearly!$D:$AM, 10, FALSE), 1)</f>
        <v>7.0609402557131524E-5</v>
      </c>
      <c r="P13" s="7">
        <f>$B13 * IFERROR(VLOOKUP("buildings|NOx|Non-fatal heart attacks", US_national_yearly!$D:$AM, 24, FALSE) / VLOOKUP("buildings|NOx|Non-fatal heart attacks", US_national_yearly!$D:$AM, 10, FALSE), 1)</f>
        <v>7.1299634839462747E-5</v>
      </c>
      <c r="Q13" s="7">
        <f>$B13 * IFERROR(VLOOKUP("buildings|NOx|Non-fatal heart attacks", US_national_yearly!$D:$AM, 25, FALSE) / VLOOKUP("buildings|NOx|Non-fatal heart attacks", US_national_yearly!$D:$AM, 10, FALSE), 1)</f>
        <v>7.1989867121793956E-5</v>
      </c>
      <c r="R13" s="7">
        <f>$B13 * IFERROR(VLOOKUP("buildings|NOx|Non-fatal heart attacks", US_national_yearly!$D:$AM, 26, FALSE) / VLOOKUP("buildings|NOx|Non-fatal heart attacks", US_national_yearly!$D:$AM, 10, FALSE), 1)</f>
        <v>7.2680099404125165E-5</v>
      </c>
      <c r="S13" s="7">
        <f>$B13 * IFERROR(VLOOKUP("buildings|NOx|Non-fatal heart attacks", US_national_yearly!$D:$AM, 27, FALSE) / VLOOKUP("buildings|NOx|Non-fatal heart attacks", US_national_yearly!$D:$AM, 10, FALSE), 1)</f>
        <v>7.2993768031135432E-5</v>
      </c>
      <c r="T13" s="7">
        <f>$B13 * IFERROR(VLOOKUP("buildings|NOx|Non-fatal heart attacks", US_national_yearly!$D:$AM, 28, FALSE) / VLOOKUP("buildings|NOx|Non-fatal heart attacks", US_national_yearly!$D:$AM, 10, FALSE), 1)</f>
        <v>7.3307436658145726E-5</v>
      </c>
      <c r="U13" s="7">
        <f>$B13 * IFERROR(VLOOKUP("buildings|NOx|Non-fatal heart attacks", US_national_yearly!$D:$AM, 29, FALSE) / VLOOKUP("buildings|NOx|Non-fatal heart attacks", US_national_yearly!$D:$AM, 10, FALSE), 1)</f>
        <v>7.3621105285155992E-5</v>
      </c>
      <c r="V13" s="7">
        <f>$B13 * IFERROR(VLOOKUP("buildings|NOx|Non-fatal heart attacks", US_national_yearly!$D:$AM, 30, FALSE) / VLOOKUP("buildings|NOx|Non-fatal heart attacks", US_national_yearly!$D:$AM, 10, FALSE), 1)</f>
        <v>7.3934773912166273E-5</v>
      </c>
      <c r="W13" s="7">
        <f>$B13 * IFERROR(VLOOKUP("buildings|NOx|Non-fatal heart attacks", US_national_yearly!$D:$AM, 31, FALSE) / VLOOKUP("buildings|NOx|Non-fatal heart attacks", US_national_yearly!$D:$AM, 10, FALSE), 1)</f>
        <v>7.4248442539176553E-5</v>
      </c>
      <c r="X13" s="7">
        <f>$B13 * IFERROR(VLOOKUP("buildings|NOx|Non-fatal heart attacks", US_national_yearly!$D:$AM, 32, FALSE) / VLOOKUP("buildings|NOx|Non-fatal heart attacks", US_national_yearly!$D:$AM, 10, FALSE), 1)</f>
        <v>7.4458261308140027E-5</v>
      </c>
      <c r="Y13" s="7">
        <f>$B13 * IFERROR(VLOOKUP("buildings|NOx|Non-fatal heart attacks", US_national_yearly!$D:$AM, 33, FALSE) / VLOOKUP("buildings|NOx|Non-fatal heart attacks", US_national_yearly!$D:$AM, 10, FALSE), 1)</f>
        <v>7.4668080077103501E-5</v>
      </c>
      <c r="Z13" s="7">
        <f>$B13 * IFERROR(VLOOKUP("buildings|NOx|Non-fatal heart attacks", US_national_yearly!$D:$AM, 34, FALSE) / VLOOKUP("buildings|NOx|Non-fatal heart attacks", US_national_yearly!$D:$AM, 10, FALSE), 1)</f>
        <v>7.4877898846066989E-5</v>
      </c>
      <c r="AA13" s="7">
        <f>$B13 * IFERROR(VLOOKUP("buildings|NOx|Non-fatal heart attacks", US_national_yearly!$D:$AM, 35, FALSE) / VLOOKUP("buildings|NOx|Non-fatal heart attacks", US_national_yearly!$D:$AM, 10, FALSE), 1)</f>
        <v>7.5087717615030463E-5</v>
      </c>
      <c r="AB13" s="7">
        <f>$B13 * IFERROR(VLOOKUP("buildings|NOx|Non-fatal heart attacks", US_national_yearly!$D:$AM, 36, FALSE) / VLOOKUP("buildings|NOx|Non-fatal heart attacks", US_national_yearly!$D:$AM, 10, FALSE), 1)</f>
        <v>7.5297536383993937E-5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3.9796403678169612E-2</v>
      </c>
      <c r="C14" s="7">
        <f>$B14 * IFERROR(VLOOKUP("buildings|NOx|Minor restricted activity days", US_national_yearly!$D:$AM, 11, FALSE) / VLOOKUP("buildings|NOx|Minor restricted activity days", US_national_yearly!$D:$AM, 10, FALSE), 1)</f>
        <v>3.9858158285110891E-2</v>
      </c>
      <c r="D14" s="7">
        <f>$B14 * IFERROR(VLOOKUP("buildings|NOx|Minor restricted activity days", US_national_yearly!$D:$AM, 12, FALSE) / VLOOKUP("buildings|NOx|Minor restricted activity days", US_national_yearly!$D:$AM, 10, FALSE), 1)</f>
        <v>3.991991289205217E-2</v>
      </c>
      <c r="E14" s="7">
        <f>$B14 * IFERROR(VLOOKUP("buildings|NOx|Minor restricted activity days", US_national_yearly!$D:$AM, 13, FALSE) / VLOOKUP("buildings|NOx|Minor restricted activity days", US_national_yearly!$D:$AM, 10, FALSE), 1)</f>
        <v>3.9981667498993449E-2</v>
      </c>
      <c r="F14" s="7">
        <f>$B14 * IFERROR(VLOOKUP("buildings|NOx|Minor restricted activity days", US_national_yearly!$D:$AM, 14, FALSE) / VLOOKUP("buildings|NOx|Minor restricted activity days", US_national_yearly!$D:$AM, 10, FALSE), 1)</f>
        <v>4.0043422105934728E-2</v>
      </c>
      <c r="G14" s="7">
        <f>$B14 * IFERROR(VLOOKUP("buildings|NOx|Minor restricted activity days", US_national_yearly!$D:$AM, 15, FALSE) / VLOOKUP("buildings|NOx|Minor restricted activity days", US_national_yearly!$D:$AM, 10, FALSE), 1)</f>
        <v>4.0154364364468599E-2</v>
      </c>
      <c r="H14" s="7">
        <f>$B14 * IFERROR(VLOOKUP("buildings|NOx|Minor restricted activity days", US_national_yearly!$D:$AM, 16, FALSE) / VLOOKUP("buildings|NOx|Minor restricted activity days", US_national_yearly!$D:$AM, 10, FALSE), 1)</f>
        <v>4.0265306623002477E-2</v>
      </c>
      <c r="I14" s="7">
        <f>$B14 * IFERROR(VLOOKUP("buildings|NOx|Minor restricted activity days", US_national_yearly!$D:$AM, 17, FALSE) / VLOOKUP("buildings|NOx|Minor restricted activity days", US_national_yearly!$D:$AM, 10, FALSE), 1)</f>
        <v>4.0481612375157391E-2</v>
      </c>
      <c r="J14" s="7">
        <f>$B14 * IFERROR(VLOOKUP("buildings|NOx|Minor restricted activity days", US_national_yearly!$D:$AM, 18, FALSE) / VLOOKUP("buildings|NOx|Minor restricted activity days", US_national_yearly!$D:$AM, 10, FALSE), 1)</f>
        <v>4.0697918127312306E-2</v>
      </c>
      <c r="K14" s="7">
        <f>$B14 * IFERROR(VLOOKUP("buildings|NOx|Minor restricted activity days", US_national_yearly!$D:$AM, 19, FALSE) / VLOOKUP("buildings|NOx|Minor restricted activity days", US_national_yearly!$D:$AM, 10, FALSE), 1)</f>
        <v>4.0914223879467221E-2</v>
      </c>
      <c r="L14" s="7">
        <f>$B14 * IFERROR(VLOOKUP("buildings|NOx|Minor restricted activity days", US_national_yearly!$D:$AM, 20, FALSE) / VLOOKUP("buildings|NOx|Minor restricted activity days", US_national_yearly!$D:$AM, 10, FALSE), 1)</f>
        <v>4.1130529631622136E-2</v>
      </c>
      <c r="M14" s="7">
        <f>$B14 * IFERROR(VLOOKUP("buildings|NOx|Minor restricted activity days", US_national_yearly!$D:$AM, 21, FALSE) / VLOOKUP("buildings|NOx|Minor restricted activity days", US_national_yearly!$D:$AM, 10, FALSE), 1)</f>
        <v>4.134683538377705E-2</v>
      </c>
      <c r="N14" s="7">
        <f>$B14 * IFERROR(VLOOKUP("buildings|NOx|Minor restricted activity days", US_national_yearly!$D:$AM, 22, FALSE) / VLOOKUP("buildings|NOx|Minor restricted activity days", US_national_yearly!$D:$AM, 10, FALSE), 1)</f>
        <v>4.1656284184914731E-2</v>
      </c>
      <c r="O14" s="7">
        <f>$B14 * IFERROR(VLOOKUP("buildings|NOx|Minor restricted activity days", US_national_yearly!$D:$AM, 23, FALSE) / VLOOKUP("buildings|NOx|Minor restricted activity days", US_national_yearly!$D:$AM, 10, FALSE), 1)</f>
        <v>4.1965732986052398E-2</v>
      </c>
      <c r="P14" s="7">
        <f>$B14 * IFERROR(VLOOKUP("buildings|NOx|Minor restricted activity days", US_national_yearly!$D:$AM, 24, FALSE) / VLOOKUP("buildings|NOx|Minor restricted activity days", US_national_yearly!$D:$AM, 10, FALSE), 1)</f>
        <v>4.2275181787190072E-2</v>
      </c>
      <c r="Q14" s="7">
        <f>$B14 * IFERROR(VLOOKUP("buildings|NOx|Minor restricted activity days", US_national_yearly!$D:$AM, 25, FALSE) / VLOOKUP("buildings|NOx|Minor restricted activity days", US_national_yearly!$D:$AM, 10, FALSE), 1)</f>
        <v>4.2584630588327739E-2</v>
      </c>
      <c r="R14" s="7">
        <f>$B14 * IFERROR(VLOOKUP("buildings|NOx|Minor restricted activity days", US_national_yearly!$D:$AM, 26, FALSE) / VLOOKUP("buildings|NOx|Minor restricted activity days", US_national_yearly!$D:$AM, 10, FALSE), 1)</f>
        <v>4.2894079389465406E-2</v>
      </c>
      <c r="S14" s="7">
        <f>$B14 * IFERROR(VLOOKUP("buildings|NOx|Minor restricted activity days", US_national_yearly!$D:$AM, 27, FALSE) / VLOOKUP("buildings|NOx|Minor restricted activity days", US_national_yearly!$D:$AM, 10, FALSE), 1)</f>
        <v>4.3203439108695174E-2</v>
      </c>
      <c r="T14" s="7">
        <f>$B14 * IFERROR(VLOOKUP("buildings|NOx|Minor restricted activity days", US_national_yearly!$D:$AM, 28, FALSE) / VLOOKUP("buildings|NOx|Minor restricted activity days", US_national_yearly!$D:$AM, 10, FALSE), 1)</f>
        <v>4.3512798827924942E-2</v>
      </c>
      <c r="U14" s="7">
        <f>$B14 * IFERROR(VLOOKUP("buildings|NOx|Minor restricted activity days", US_national_yearly!$D:$AM, 29, FALSE) / VLOOKUP("buildings|NOx|Minor restricted activity days", US_national_yearly!$D:$AM, 10, FALSE), 1)</f>
        <v>4.3822158547154717E-2</v>
      </c>
      <c r="V14" s="7">
        <f>$B14 * IFERROR(VLOOKUP("buildings|NOx|Minor restricted activity days", US_national_yearly!$D:$AM, 30, FALSE) / VLOOKUP("buildings|NOx|Minor restricted activity days", US_national_yearly!$D:$AM, 10, FALSE), 1)</f>
        <v>4.4131518266384485E-2</v>
      </c>
      <c r="W14" s="7">
        <f>$B14 * IFERROR(VLOOKUP("buildings|NOx|Minor restricted activity days", US_national_yearly!$D:$AM, 31, FALSE) / VLOOKUP("buildings|NOx|Minor restricted activity days", US_national_yearly!$D:$AM, 10, FALSE), 1)</f>
        <v>4.4440877985614254E-2</v>
      </c>
      <c r="X14" s="7">
        <f>$B14 * IFERROR(VLOOKUP("buildings|NOx|Minor restricted activity days", US_national_yearly!$D:$AM, 32, FALSE) / VLOOKUP("buildings|NOx|Minor restricted activity days", US_national_yearly!$D:$AM, 10, FALSE), 1)</f>
        <v>4.4702516207700271E-2</v>
      </c>
      <c r="Y14" s="7">
        <f>$B14 * IFERROR(VLOOKUP("buildings|NOx|Minor restricted activity days", US_national_yearly!$D:$AM, 33, FALSE) / VLOOKUP("buildings|NOx|Minor restricted activity days", US_national_yearly!$D:$AM, 10, FALSE), 1)</f>
        <v>4.4964154429786303E-2</v>
      </c>
      <c r="Z14" s="7">
        <f>$B14 * IFERROR(VLOOKUP("buildings|NOx|Minor restricted activity days", US_national_yearly!$D:$AM, 34, FALSE) / VLOOKUP("buildings|NOx|Minor restricted activity days", US_national_yearly!$D:$AM, 10, FALSE), 1)</f>
        <v>4.5225792651872314E-2</v>
      </c>
      <c r="AA14" s="7">
        <f>$B14 * IFERROR(VLOOKUP("buildings|NOx|Minor restricted activity days", US_national_yearly!$D:$AM, 35, FALSE) / VLOOKUP("buildings|NOx|Minor restricted activity days", US_national_yearly!$D:$AM, 10, FALSE), 1)</f>
        <v>4.5487430873958339E-2</v>
      </c>
      <c r="AB14" s="7">
        <f>$B14 * IFERROR(VLOOKUP("buildings|NOx|Minor restricted activity days", US_national_yearly!$D:$AM, 36, FALSE) / VLOOKUP("buildings|NOx|Minor restricted activity days", US_national_yearly!$D:$AM, 10, FALSE), 1)</f>
        <v>4.5749069096044356E-2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6.7684484085966503E-3</v>
      </c>
      <c r="C15" s="7">
        <f>$B15 * IFERROR(VLOOKUP("buildings|NOx|Work loss days", US_national_yearly!$D:$AM, 11, FALSE) / VLOOKUP("buildings|NOx|Work loss days", US_national_yearly!$D:$AM, 10, FALSE), 1)</f>
        <v>6.7836214767056811E-3</v>
      </c>
      <c r="D15" s="7">
        <f>$B15 * IFERROR(VLOOKUP("buildings|NOx|Work loss days", US_national_yearly!$D:$AM, 12, FALSE) / VLOOKUP("buildings|NOx|Work loss days", US_national_yearly!$D:$AM, 10, FALSE), 1)</f>
        <v>6.7987945448147093E-3</v>
      </c>
      <c r="E15" s="7">
        <f>$B15 * IFERROR(VLOOKUP("buildings|NOx|Work loss days", US_national_yearly!$D:$AM, 13, FALSE) / VLOOKUP("buildings|NOx|Work loss days", US_national_yearly!$D:$AM, 10, FALSE), 1)</f>
        <v>6.8139676129237384E-3</v>
      </c>
      <c r="F15" s="7">
        <f>$B15 * IFERROR(VLOOKUP("buildings|NOx|Work loss days", US_national_yearly!$D:$AM, 14, FALSE) / VLOOKUP("buildings|NOx|Work loss days", US_national_yearly!$D:$AM, 10, FALSE), 1)</f>
        <v>6.8291406810327693E-3</v>
      </c>
      <c r="G15" s="7">
        <f>$B15 * IFERROR(VLOOKUP("buildings|NOx|Work loss days", US_national_yearly!$D:$AM, 15, FALSE) / VLOOKUP("buildings|NOx|Work loss days", US_national_yearly!$D:$AM, 10, FALSE), 1)</f>
        <v>6.8512419558634362E-3</v>
      </c>
      <c r="H15" s="7">
        <f>$B15 * IFERROR(VLOOKUP("buildings|NOx|Work loss days", US_national_yearly!$D:$AM, 16, FALSE) / VLOOKUP("buildings|NOx|Work loss days", US_national_yearly!$D:$AM, 10, FALSE), 1)</f>
        <v>6.8733432306941024E-3</v>
      </c>
      <c r="I15" s="7">
        <f>$B15 * IFERROR(VLOOKUP("buildings|NOx|Work loss days", US_national_yearly!$D:$AM, 17, FALSE) / VLOOKUP("buildings|NOx|Work loss days", US_national_yearly!$D:$AM, 10, FALSE), 1)</f>
        <v>6.9090876538171874E-3</v>
      </c>
      <c r="J15" s="7">
        <f>$B15 * IFERROR(VLOOKUP("buildings|NOx|Work loss days", US_national_yearly!$D:$AM, 18, FALSE) / VLOOKUP("buildings|NOx|Work loss days", US_national_yearly!$D:$AM, 10, FALSE), 1)</f>
        <v>6.9448320769402707E-3</v>
      </c>
      <c r="K15" s="7">
        <f>$B15 * IFERROR(VLOOKUP("buildings|NOx|Work loss days", US_national_yearly!$D:$AM, 19, FALSE) / VLOOKUP("buildings|NOx|Work loss days", US_national_yearly!$D:$AM, 10, FALSE), 1)</f>
        <v>6.9805765000633549E-3</v>
      </c>
      <c r="L15" s="7">
        <f>$B15 * IFERROR(VLOOKUP("buildings|NOx|Work loss days", US_national_yearly!$D:$AM, 20, FALSE) / VLOOKUP("buildings|NOx|Work loss days", US_national_yearly!$D:$AM, 10, FALSE), 1)</f>
        <v>7.01632092318644E-3</v>
      </c>
      <c r="M15" s="7">
        <f>$B15 * IFERROR(VLOOKUP("buildings|NOx|Work loss days", US_national_yearly!$D:$AM, 21, FALSE) / VLOOKUP("buildings|NOx|Work loss days", US_national_yearly!$D:$AM, 10, FALSE), 1)</f>
        <v>7.0520653463095224E-3</v>
      </c>
      <c r="N15" s="7">
        <f>$B15 * IFERROR(VLOOKUP("buildings|NOx|Work loss days", US_national_yearly!$D:$AM, 22, FALSE) / VLOOKUP("buildings|NOx|Work loss days", US_national_yearly!$D:$AM, 10, FALSE), 1)</f>
        <v>7.0985688997525038E-3</v>
      </c>
      <c r="O15" s="7">
        <f>$B15 * IFERROR(VLOOKUP("buildings|NOx|Work loss days", US_national_yearly!$D:$AM, 23, FALSE) / VLOOKUP("buildings|NOx|Work loss days", US_national_yearly!$D:$AM, 10, FALSE), 1)</f>
        <v>7.1450724531954843E-3</v>
      </c>
      <c r="P15" s="7">
        <f>$B15 * IFERROR(VLOOKUP("buildings|NOx|Work loss days", US_national_yearly!$D:$AM, 24, FALSE) / VLOOKUP("buildings|NOx|Work loss days", US_national_yearly!$D:$AM, 10, FALSE), 1)</f>
        <v>7.1915760066384657E-3</v>
      </c>
      <c r="Q15" s="7">
        <f>$B15 * IFERROR(VLOOKUP("buildings|NOx|Work loss days", US_national_yearly!$D:$AM, 25, FALSE) / VLOOKUP("buildings|NOx|Work loss days", US_national_yearly!$D:$AM, 10, FALSE), 1)</f>
        <v>7.2380795600814479E-3</v>
      </c>
      <c r="R15" s="7">
        <f>$B15 * IFERROR(VLOOKUP("buildings|NOx|Work loss days", US_national_yearly!$D:$AM, 26, FALSE) / VLOOKUP("buildings|NOx|Work loss days", US_national_yearly!$D:$AM, 10, FALSE), 1)</f>
        <v>7.2845831135244284E-3</v>
      </c>
      <c r="S15" s="7">
        <f>$B15 * IFERROR(VLOOKUP("buildings|NOx|Work loss days", US_national_yearly!$D:$AM, 27, FALSE) / VLOOKUP("buildings|NOx|Work loss days", US_national_yearly!$D:$AM, 10, FALSE), 1)</f>
        <v>7.336403174150523E-3</v>
      </c>
      <c r="T15" s="7">
        <f>$B15 * IFERROR(VLOOKUP("buildings|NOx|Work loss days", US_national_yearly!$D:$AM, 28, FALSE) / VLOOKUP("buildings|NOx|Work loss days", US_national_yearly!$D:$AM, 10, FALSE), 1)</f>
        <v>7.3882232347766193E-3</v>
      </c>
      <c r="U15" s="7">
        <f>$B15 * IFERROR(VLOOKUP("buildings|NOx|Work loss days", US_national_yearly!$D:$AM, 29, FALSE) / VLOOKUP("buildings|NOx|Work loss days", US_national_yearly!$D:$AM, 10, FALSE), 1)</f>
        <v>7.4400432954027139E-3</v>
      </c>
      <c r="V15" s="7">
        <f>$B15 * IFERROR(VLOOKUP("buildings|NOx|Work loss days", US_national_yearly!$D:$AM, 30, FALSE) / VLOOKUP("buildings|NOx|Work loss days", US_national_yearly!$D:$AM, 10, FALSE), 1)</f>
        <v>7.4918633560288094E-3</v>
      </c>
      <c r="W15" s="7">
        <f>$B15 * IFERROR(VLOOKUP("buildings|NOx|Work loss days", US_national_yearly!$D:$AM, 31, FALSE) / VLOOKUP("buildings|NOx|Work loss days", US_national_yearly!$D:$AM, 10, FALSE), 1)</f>
        <v>7.543683416654904E-3</v>
      </c>
      <c r="X15" s="7">
        <f>$B15 * IFERROR(VLOOKUP("buildings|NOx|Work loss days", US_national_yearly!$D:$AM, 32, FALSE) / VLOOKUP("buildings|NOx|Work loss days", US_national_yearly!$D:$AM, 10, FALSE), 1)</f>
        <v>7.5886740564181689E-3</v>
      </c>
      <c r="Y15" s="7">
        <f>$B15 * IFERROR(VLOOKUP("buildings|NOx|Work loss days", US_national_yearly!$D:$AM, 33, FALSE) / VLOOKUP("buildings|NOx|Work loss days", US_national_yearly!$D:$AM, 10, FALSE), 1)</f>
        <v>7.6336646961814338E-3</v>
      </c>
      <c r="Z15" s="7">
        <f>$B15 * IFERROR(VLOOKUP("buildings|NOx|Work loss days", US_national_yearly!$D:$AM, 34, FALSE) / VLOOKUP("buildings|NOx|Work loss days", US_national_yearly!$D:$AM, 10, FALSE), 1)</f>
        <v>7.6786553359446987E-3</v>
      </c>
      <c r="AA15" s="7">
        <f>$B15 * IFERROR(VLOOKUP("buildings|NOx|Work loss days", US_national_yearly!$D:$AM, 35, FALSE) / VLOOKUP("buildings|NOx|Work loss days", US_national_yearly!$D:$AM, 10, FALSE), 1)</f>
        <v>7.7236459757079635E-3</v>
      </c>
      <c r="AB15" s="7">
        <f>$B15 * IFERROR(VLOOKUP("buildings|NOx|Work loss days", US_national_yearly!$D:$AM, 36, FALSE) / VLOOKUP("buildings|NOx|Work loss days", US_national_yearly!$D:$AM, 10, FALSE), 1)</f>
        <v>7.7686366154712284E-3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1.0507507474463706E-5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1.081642912790171E-5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1.1125350781339718E-5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1.1434272434777724E-5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1.1743194088215729E-5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1.2036664040438523E-5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1.2330133992661317E-5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1.2577059983115839E-5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1.2823985973570359E-5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1.3070911964024879E-5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1.33178379544794E-5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1.3564763944933918E-5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1.3719224586769916E-5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1.387368522860591E-5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1.4028145870441906E-5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1.4182606512277902E-5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1.4337067154113896E-5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1.4407644616230658E-5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1.4478222078347417E-5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1.4548799540464179E-5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1.4619377002580938E-5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1.46899544646977E-5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1.4729293629472839E-5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1.4768632794247979E-5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1.4807971959023117E-5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1.4847311123798257E-5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1.4886650288573396E-5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1.3447254318697634E-4</v>
      </c>
      <c r="C2" s="7">
        <f>$B2 * IFERROR(VLOOKUP("buildings|SO2|Premature mortality", US_national_yearly!$D:$AM, 11, FALSE) / VLOOKUP("buildings|SO2|Premature mortality", US_national_yearly!$D:$AM, 10, FALSE), 1)</f>
        <v>1.361760967445096E-4</v>
      </c>
      <c r="D2" s="7">
        <f>$B2 * IFERROR(VLOOKUP("buildings|SO2|Premature mortality", US_national_yearly!$D:$AM, 12, FALSE) / VLOOKUP("buildings|SO2|Premature mortality", US_national_yearly!$D:$AM, 10, FALSE), 1)</f>
        <v>1.3787965030204283E-4</v>
      </c>
      <c r="E2" s="7">
        <f>$B2 * IFERROR(VLOOKUP("buildings|SO2|Premature mortality", US_national_yearly!$D:$AM, 13, FALSE) / VLOOKUP("buildings|SO2|Premature mortality", US_national_yearly!$D:$AM, 10, FALSE), 1)</f>
        <v>1.3958320385957609E-4</v>
      </c>
      <c r="F2" s="7">
        <f>$B2 * IFERROR(VLOOKUP("buildings|SO2|Premature mortality", US_national_yearly!$D:$AM, 14, FALSE) / VLOOKUP("buildings|SO2|Premature mortality", US_national_yearly!$D:$AM, 10, FALSE), 1)</f>
        <v>1.4128675741710935E-4</v>
      </c>
      <c r="G2" s="7">
        <f>$B2 * IFERROR(VLOOKUP("buildings|SO2|Premature mortality", US_national_yearly!$D:$AM, 15, FALSE) / VLOOKUP("buildings|SO2|Premature mortality", US_national_yearly!$D:$AM, 10, FALSE), 1)</f>
        <v>1.4456915945927591E-4</v>
      </c>
      <c r="H2" s="7">
        <f>$B2 * IFERROR(VLOOKUP("buildings|SO2|Premature mortality", US_national_yearly!$D:$AM, 16, FALSE) / VLOOKUP("buildings|SO2|Premature mortality", US_national_yearly!$D:$AM, 10, FALSE), 1)</f>
        <v>1.4785156150144249E-4</v>
      </c>
      <c r="I2" s="7">
        <f>$B2 * IFERROR(VLOOKUP("buildings|SO2|Premature mortality", US_national_yearly!$D:$AM, 17, FALSE) / VLOOKUP("buildings|SO2|Premature mortality", US_national_yearly!$D:$AM, 10, FALSE), 1)</f>
        <v>1.5002186687815397E-4</v>
      </c>
      <c r="J2" s="7">
        <f>$B2 * IFERROR(VLOOKUP("buildings|SO2|Premature mortality", US_national_yearly!$D:$AM, 18, FALSE) / VLOOKUP("buildings|SO2|Premature mortality", US_national_yearly!$D:$AM, 10, FALSE), 1)</f>
        <v>1.5219217225486542E-4</v>
      </c>
      <c r="K2" s="7">
        <f>$B2 * IFERROR(VLOOKUP("buildings|SO2|Premature mortality", US_national_yearly!$D:$AM, 19, FALSE) / VLOOKUP("buildings|SO2|Premature mortality", US_national_yearly!$D:$AM, 10, FALSE), 1)</f>
        <v>1.5436247763157691E-4</v>
      </c>
      <c r="L2" s="7">
        <f>$B2 * IFERROR(VLOOKUP("buildings|SO2|Premature mortality", US_national_yearly!$D:$AM, 20, FALSE) / VLOOKUP("buildings|SO2|Premature mortality", US_national_yearly!$D:$AM, 10, FALSE), 1)</f>
        <v>1.5653278300828836E-4</v>
      </c>
      <c r="M2" s="7">
        <f>$B2 * IFERROR(VLOOKUP("buildings|SO2|Premature mortality", US_national_yearly!$D:$AM, 21, FALSE) / VLOOKUP("buildings|SO2|Premature mortality", US_national_yearly!$D:$AM, 10, FALSE), 1)</f>
        <v>1.5870308838499987E-4</v>
      </c>
      <c r="N2" s="7">
        <f>$B2 * IFERROR(VLOOKUP("buildings|SO2|Premature mortality", US_national_yearly!$D:$AM, 22, FALSE) / VLOOKUP("buildings|SO2|Premature mortality", US_national_yearly!$D:$AM, 10, FALSE), 1)</f>
        <v>1.6039845471174099E-4</v>
      </c>
      <c r="O2" s="7">
        <f>$B2 * IFERROR(VLOOKUP("buildings|SO2|Premature mortality", US_national_yearly!$D:$AM, 23, FALSE) / VLOOKUP("buildings|SO2|Premature mortality", US_national_yearly!$D:$AM, 10, FALSE), 1)</f>
        <v>1.6209382103848206E-4</v>
      </c>
      <c r="P2" s="7">
        <f>$B2 * IFERROR(VLOOKUP("buildings|SO2|Premature mortality", US_national_yearly!$D:$AM, 24, FALSE) / VLOOKUP("buildings|SO2|Premature mortality", US_national_yearly!$D:$AM, 10, FALSE), 1)</f>
        <v>1.6378918736522318E-4</v>
      </c>
      <c r="Q2" s="7">
        <f>$B2 * IFERROR(VLOOKUP("buildings|SO2|Premature mortality", US_national_yearly!$D:$AM, 25, FALSE) / VLOOKUP("buildings|SO2|Premature mortality", US_national_yearly!$D:$AM, 10, FALSE), 1)</f>
        <v>1.6548455369196424E-4</v>
      </c>
      <c r="R2" s="7">
        <f>$B2 * IFERROR(VLOOKUP("buildings|SO2|Premature mortality", US_national_yearly!$D:$AM, 26, FALSE) / VLOOKUP("buildings|SO2|Premature mortality", US_national_yearly!$D:$AM, 10, FALSE), 1)</f>
        <v>1.6717992001870536E-4</v>
      </c>
      <c r="S2" s="7">
        <f>$B2 * IFERROR(VLOOKUP("buildings|SO2|Premature mortality", US_national_yearly!$D:$AM, 27, FALSE) / VLOOKUP("buildings|SO2|Premature mortality", US_national_yearly!$D:$AM, 10, FALSE), 1)</f>
        <v>1.6808729942894489E-4</v>
      </c>
      <c r="T2" s="7">
        <f>$B2 * IFERROR(VLOOKUP("buildings|SO2|Premature mortality", US_national_yearly!$D:$AM, 28, FALSE) / VLOOKUP("buildings|SO2|Premature mortality", US_national_yearly!$D:$AM, 10, FALSE), 1)</f>
        <v>1.6899467883918447E-4</v>
      </c>
      <c r="U2" s="7">
        <f>$B2 * IFERROR(VLOOKUP("buildings|SO2|Premature mortality", US_national_yearly!$D:$AM, 29, FALSE) / VLOOKUP("buildings|SO2|Premature mortality", US_national_yearly!$D:$AM, 10, FALSE), 1)</f>
        <v>1.6990205824942399E-4</v>
      </c>
      <c r="V2" s="7">
        <f>$B2 * IFERROR(VLOOKUP("buildings|SO2|Premature mortality", US_national_yearly!$D:$AM, 30, FALSE) / VLOOKUP("buildings|SO2|Premature mortality", US_national_yearly!$D:$AM, 10, FALSE), 1)</f>
        <v>1.7080943765966357E-4</v>
      </c>
      <c r="W2" s="7">
        <f>$B2 * IFERROR(VLOOKUP("buildings|SO2|Premature mortality", US_national_yearly!$D:$AM, 31, FALSE) / VLOOKUP("buildings|SO2|Premature mortality", US_national_yearly!$D:$AM, 10, FALSE), 1)</f>
        <v>1.7171681706990309E-4</v>
      </c>
      <c r="X2" s="7">
        <f>$B2 * IFERROR(VLOOKUP("buildings|SO2|Premature mortality", US_national_yearly!$D:$AM, 32, FALSE) / VLOOKUP("buildings|SO2|Premature mortality", US_national_yearly!$D:$AM, 10, FALSE), 1)</f>
        <v>1.7190016665056412E-4</v>
      </c>
      <c r="Y2" s="7">
        <f>$B2 * IFERROR(VLOOKUP("buildings|SO2|Premature mortality", US_national_yearly!$D:$AM, 33, FALSE) / VLOOKUP("buildings|SO2|Premature mortality", US_national_yearly!$D:$AM, 10, FALSE), 1)</f>
        <v>1.7208351623122518E-4</v>
      </c>
      <c r="Z2" s="7">
        <f>$B2 * IFERROR(VLOOKUP("buildings|SO2|Premature mortality", US_national_yearly!$D:$AM, 34, FALSE) / VLOOKUP("buildings|SO2|Premature mortality", US_national_yearly!$D:$AM, 10, FALSE), 1)</f>
        <v>1.7226686581188618E-4</v>
      </c>
      <c r="AA2" s="7">
        <f>$B2 * IFERROR(VLOOKUP("buildings|SO2|Premature mortality", US_national_yearly!$D:$AM, 35, FALSE) / VLOOKUP("buildings|SO2|Premature mortality", US_national_yearly!$D:$AM, 10, FALSE), 1)</f>
        <v>1.7245021539254724E-4</v>
      </c>
      <c r="AB2" s="7">
        <f>$B2 * IFERROR(VLOOKUP("buildings|SO2|Premature mortality", US_national_yearly!$D:$AM, 36, FALSE) / VLOOKUP("buildings|SO2|Premature mortality", US_national_yearly!$D:$AM, 10, FALSE), 1)</f>
        <v>1.726335649732083E-4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4.0977899150743812E-7</v>
      </c>
      <c r="C3" s="7">
        <f>$B3 * IFERROR(VLOOKUP("buildings|SO2|Infant mortality", US_national_yearly!$D:$AM, 11, FALSE) / VLOOKUP("buildings|SO2|Infant mortality", US_national_yearly!$D:$AM, 10, FALSE), 1)</f>
        <v>4.0626660890773644E-7</v>
      </c>
      <c r="D3" s="7">
        <f>$B3 * IFERROR(VLOOKUP("buildings|SO2|Infant mortality", US_national_yearly!$D:$AM, 12, FALSE) / VLOOKUP("buildings|SO2|Infant mortality", US_national_yearly!$D:$AM, 10, FALSE), 1)</f>
        <v>4.0275422630803471E-7</v>
      </c>
      <c r="E3" s="7">
        <f>$B3 * IFERROR(VLOOKUP("buildings|SO2|Infant mortality", US_national_yearly!$D:$AM, 13, FALSE) / VLOOKUP("buildings|SO2|Infant mortality", US_national_yearly!$D:$AM, 10, FALSE), 1)</f>
        <v>3.9924184370833308E-7</v>
      </c>
      <c r="F3" s="7">
        <f>$B3 * IFERROR(VLOOKUP("buildings|SO2|Infant mortality", US_national_yearly!$D:$AM, 14, FALSE) / VLOOKUP("buildings|SO2|Infant mortality", US_national_yearly!$D:$AM, 10, FALSE), 1)</f>
        <v>3.9572946110863141E-7</v>
      </c>
      <c r="G3" s="7">
        <f>$B3 * IFERROR(VLOOKUP("buildings|SO2|Infant mortality", US_national_yearly!$D:$AM, 15, FALSE) / VLOOKUP("buildings|SO2|Infant mortality", US_national_yearly!$D:$AM, 10, FALSE), 1)</f>
        <v>2.6354014358583745E-7</v>
      </c>
      <c r="H3" s="7">
        <f>$B3 * IFERROR(VLOOKUP("buildings|SO2|Infant mortality", US_national_yearly!$D:$AM, 16, FALSE) / VLOOKUP("buildings|SO2|Infant mortality", US_national_yearly!$D:$AM, 10, FALSE), 1)</f>
        <v>1.313508260630435E-7</v>
      </c>
      <c r="I3" s="7">
        <f>$B3 * IFERROR(VLOOKUP("buildings|SO2|Infant mortality", US_national_yearly!$D:$AM, 17, FALSE) / VLOOKUP("buildings|SO2|Infant mortality", US_national_yearly!$D:$AM, 10, FALSE), 1)</f>
        <v>1.3052671647525689E-7</v>
      </c>
      <c r="J3" s="7">
        <f>$B3 * IFERROR(VLOOKUP("buildings|SO2|Infant mortality", US_national_yearly!$D:$AM, 18, FALSE) / VLOOKUP("buildings|SO2|Infant mortality", US_national_yearly!$D:$AM, 10, FALSE), 1)</f>
        <v>1.2970260688747025E-7</v>
      </c>
      <c r="K3" s="7">
        <f>$B3 * IFERROR(VLOOKUP("buildings|SO2|Infant mortality", US_national_yearly!$D:$AM, 19, FALSE) / VLOOKUP("buildings|SO2|Infant mortality", US_national_yearly!$D:$AM, 10, FALSE), 1)</f>
        <v>1.2887849729968365E-7</v>
      </c>
      <c r="L3" s="7">
        <f>$B3 * IFERROR(VLOOKUP("buildings|SO2|Infant mortality", US_national_yearly!$D:$AM, 20, FALSE) / VLOOKUP("buildings|SO2|Infant mortality", US_national_yearly!$D:$AM, 10, FALSE), 1)</f>
        <v>1.2805438771189698E-7</v>
      </c>
      <c r="M3" s="7">
        <f>$B3 * IFERROR(VLOOKUP("buildings|SO2|Infant mortality", US_national_yearly!$D:$AM, 21, FALSE) / VLOOKUP("buildings|SO2|Infant mortality", US_national_yearly!$D:$AM, 10, FALSE), 1)</f>
        <v>1.2723027812411038E-7</v>
      </c>
      <c r="N3" s="7">
        <f>$B3 * IFERROR(VLOOKUP("buildings|SO2|Infant mortality", US_national_yearly!$D:$AM, 22, FALSE) / VLOOKUP("buildings|SO2|Infant mortality", US_national_yearly!$D:$AM, 10, FALSE), 1)</f>
        <v>1.2671364895939751E-7</v>
      </c>
      <c r="O3" s="7">
        <f>$B3 * IFERROR(VLOOKUP("buildings|SO2|Infant mortality", US_national_yearly!$D:$AM, 23, FALSE) / VLOOKUP("buildings|SO2|Infant mortality", US_national_yearly!$D:$AM, 10, FALSE), 1)</f>
        <v>1.2619701979468461E-7</v>
      </c>
      <c r="P3" s="7">
        <f>$B3 * IFERROR(VLOOKUP("buildings|SO2|Infant mortality", US_national_yearly!$D:$AM, 24, FALSE) / VLOOKUP("buildings|SO2|Infant mortality", US_national_yearly!$D:$AM, 10, FALSE), 1)</f>
        <v>1.2568039062997174E-7</v>
      </c>
      <c r="Q3" s="7">
        <f>$B3 * IFERROR(VLOOKUP("buildings|SO2|Infant mortality", US_national_yearly!$D:$AM, 25, FALSE) / VLOOKUP("buildings|SO2|Infant mortality", US_national_yearly!$D:$AM, 10, FALSE), 1)</f>
        <v>1.2516376146525887E-7</v>
      </c>
      <c r="R3" s="7">
        <f>$B3 * IFERROR(VLOOKUP("buildings|SO2|Infant mortality", US_national_yearly!$D:$AM, 26, FALSE) / VLOOKUP("buildings|SO2|Infant mortality", US_national_yearly!$D:$AM, 10, FALSE), 1)</f>
        <v>1.2464713230054597E-7</v>
      </c>
      <c r="S3" s="7">
        <f>$B3 * IFERROR(VLOOKUP("buildings|SO2|Infant mortality", US_national_yearly!$D:$AM, 27, FALSE) / VLOOKUP("buildings|SO2|Infant mortality", US_national_yearly!$D:$AM, 10, FALSE), 1)</f>
        <v>1.2399840985712619E-7</v>
      </c>
      <c r="T3" s="7">
        <f>$B3 * IFERROR(VLOOKUP("buildings|SO2|Infant mortality", US_national_yearly!$D:$AM, 28, FALSE) / VLOOKUP("buildings|SO2|Infant mortality", US_national_yearly!$D:$AM, 10, FALSE), 1)</f>
        <v>1.2334968741370638E-7</v>
      </c>
      <c r="U3" s="7">
        <f>$B3 * IFERROR(VLOOKUP("buildings|SO2|Infant mortality", US_national_yearly!$D:$AM, 29, FALSE) / VLOOKUP("buildings|SO2|Infant mortality", US_national_yearly!$D:$AM, 10, FALSE), 1)</f>
        <v>1.227009649702866E-7</v>
      </c>
      <c r="V3" s="7">
        <f>$B3 * IFERROR(VLOOKUP("buildings|SO2|Infant mortality", US_national_yearly!$D:$AM, 30, FALSE) / VLOOKUP("buildings|SO2|Infant mortality", US_national_yearly!$D:$AM, 10, FALSE), 1)</f>
        <v>1.2205224252686679E-7</v>
      </c>
      <c r="W3" s="7">
        <f>$B3 * IFERROR(VLOOKUP("buildings|SO2|Infant mortality", US_national_yearly!$D:$AM, 31, FALSE) / VLOOKUP("buildings|SO2|Infant mortality", US_national_yearly!$D:$AM, 10, FALSE), 1)</f>
        <v>1.2140352008344698E-7</v>
      </c>
      <c r="X3" s="7">
        <f>$B3 * IFERROR(VLOOKUP("buildings|SO2|Infant mortality", US_national_yearly!$D:$AM, 32, FALSE) / VLOOKUP("buildings|SO2|Infant mortality", US_national_yearly!$D:$AM, 10, FALSE), 1)</f>
        <v>1.2069501238413741E-7</v>
      </c>
      <c r="Y3" s="7">
        <f>$B3 * IFERROR(VLOOKUP("buildings|SO2|Infant mortality", US_national_yearly!$D:$AM, 33, FALSE) / VLOOKUP("buildings|SO2|Infant mortality", US_national_yearly!$D:$AM, 10, FALSE), 1)</f>
        <v>1.1998650468482781E-7</v>
      </c>
      <c r="Z3" s="7">
        <f>$B3 * IFERROR(VLOOKUP("buildings|SO2|Infant mortality", US_national_yearly!$D:$AM, 34, FALSE) / VLOOKUP("buildings|SO2|Infant mortality", US_national_yearly!$D:$AM, 10, FALSE), 1)</f>
        <v>1.1927799698551823E-7</v>
      </c>
      <c r="AA3" s="7">
        <f>$B3 * IFERROR(VLOOKUP("buildings|SO2|Infant mortality", US_national_yearly!$D:$AM, 35, FALSE) / VLOOKUP("buildings|SO2|Infant mortality", US_national_yearly!$D:$AM, 10, FALSE), 1)</f>
        <v>1.185694892862086E-7</v>
      </c>
      <c r="AB3" s="7">
        <f>$B3 * IFERROR(VLOOKUP("buildings|SO2|Infant mortality", US_national_yearly!$D:$AM, 36, FALSE) / VLOOKUP("buildings|SO2|Infant mortality", US_national_yearly!$D:$AM, 10, FALSE), 1)</f>
        <v>1.1786098158689903E-7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3.7857848070679942E-4</v>
      </c>
      <c r="C6" s="7">
        <f>$B6 * IFERROR(VLOOKUP("buildings|SO2|Asthma symptoms cough", US_national_yearly!$D:$AM, 11, FALSE) / VLOOKUP("buildings|SO2|Asthma symptoms cough", US_national_yearly!$D:$AM, 10, FALSE), 1)</f>
        <v>3.7857848070679942E-4</v>
      </c>
      <c r="D6" s="7">
        <f>$B6 * IFERROR(VLOOKUP("buildings|SO2|Asthma symptoms cough", US_national_yearly!$D:$AM, 12, FALSE) / VLOOKUP("buildings|SO2|Asthma symptoms cough", US_national_yearly!$D:$AM, 10, FALSE), 1)</f>
        <v>3.7857848070679942E-4</v>
      </c>
      <c r="E6" s="7">
        <f>$B6 * IFERROR(VLOOKUP("buildings|SO2|Asthma symptoms cough", US_national_yearly!$D:$AM, 13, FALSE) / VLOOKUP("buildings|SO2|Asthma symptoms cough", US_national_yearly!$D:$AM, 10, FALSE), 1)</f>
        <v>3.7857848070679942E-4</v>
      </c>
      <c r="F6" s="7">
        <f>$B6 * IFERROR(VLOOKUP("buildings|SO2|Asthma symptoms cough", US_national_yearly!$D:$AM, 14, FALSE) / VLOOKUP("buildings|SO2|Asthma symptoms cough", US_national_yearly!$D:$AM, 10, FALSE), 1)</f>
        <v>3.7857848070679942E-4</v>
      </c>
      <c r="G6" s="7">
        <f>$B6 * IFERROR(VLOOKUP("buildings|SO2|Asthma symptoms cough", US_national_yearly!$D:$AM, 15, FALSE) / VLOOKUP("buildings|SO2|Asthma symptoms cough", US_national_yearly!$D:$AM, 10, FALSE), 1)</f>
        <v>3.7857848070679942E-4</v>
      </c>
      <c r="H6" s="7">
        <f>$B6 * IFERROR(VLOOKUP("buildings|SO2|Asthma symptoms cough", US_national_yearly!$D:$AM, 16, FALSE) / VLOOKUP("buildings|SO2|Asthma symptoms cough", US_national_yearly!$D:$AM, 10, FALSE), 1)</f>
        <v>3.7857848070679942E-4</v>
      </c>
      <c r="I6" s="7">
        <f>$B6 * IFERROR(VLOOKUP("buildings|SO2|Asthma symptoms cough", US_national_yearly!$D:$AM, 17, FALSE) / VLOOKUP("buildings|SO2|Asthma symptoms cough", US_national_yearly!$D:$AM, 10, FALSE), 1)</f>
        <v>3.7857848070679942E-4</v>
      </c>
      <c r="J6" s="7">
        <f>$B6 * IFERROR(VLOOKUP("buildings|SO2|Asthma symptoms cough", US_national_yearly!$D:$AM, 18, FALSE) / VLOOKUP("buildings|SO2|Asthma symptoms cough", US_national_yearly!$D:$AM, 10, FALSE), 1)</f>
        <v>3.7857848070679942E-4</v>
      </c>
      <c r="K6" s="7">
        <f>$B6 * IFERROR(VLOOKUP("buildings|SO2|Asthma symptoms cough", US_national_yearly!$D:$AM, 19, FALSE) / VLOOKUP("buildings|SO2|Asthma symptoms cough", US_national_yearly!$D:$AM, 10, FALSE), 1)</f>
        <v>3.7857848070679942E-4</v>
      </c>
      <c r="L6" s="7">
        <f>$B6 * IFERROR(VLOOKUP("buildings|SO2|Asthma symptoms cough", US_national_yearly!$D:$AM, 20, FALSE) / VLOOKUP("buildings|SO2|Asthma symptoms cough", US_national_yearly!$D:$AM, 10, FALSE), 1)</f>
        <v>3.7857848070679942E-4</v>
      </c>
      <c r="M6" s="7">
        <f>$B6 * IFERROR(VLOOKUP("buildings|SO2|Asthma symptoms cough", US_national_yearly!$D:$AM, 21, FALSE) / VLOOKUP("buildings|SO2|Asthma symptoms cough", US_national_yearly!$D:$AM, 10, FALSE), 1)</f>
        <v>3.7857848070679942E-4</v>
      </c>
      <c r="N6" s="7">
        <f>$B6 * IFERROR(VLOOKUP("buildings|SO2|Asthma symptoms cough", US_national_yearly!$D:$AM, 22, FALSE) / VLOOKUP("buildings|SO2|Asthma symptoms cough", US_national_yearly!$D:$AM, 10, FALSE), 1)</f>
        <v>3.7857848070679942E-4</v>
      </c>
      <c r="O6" s="7">
        <f>$B6 * IFERROR(VLOOKUP("buildings|SO2|Asthma symptoms cough", US_national_yearly!$D:$AM, 23, FALSE) / VLOOKUP("buildings|SO2|Asthma symptoms cough", US_national_yearly!$D:$AM, 10, FALSE), 1)</f>
        <v>3.7857848070679942E-4</v>
      </c>
      <c r="P6" s="7">
        <f>$B6 * IFERROR(VLOOKUP("buildings|SO2|Asthma symptoms cough", US_national_yearly!$D:$AM, 24, FALSE) / VLOOKUP("buildings|SO2|Asthma symptoms cough", US_national_yearly!$D:$AM, 10, FALSE), 1)</f>
        <v>3.7857848070679942E-4</v>
      </c>
      <c r="Q6" s="7">
        <f>$B6 * IFERROR(VLOOKUP("buildings|SO2|Asthma symptoms cough", US_national_yearly!$D:$AM, 25, FALSE) / VLOOKUP("buildings|SO2|Asthma symptoms cough", US_national_yearly!$D:$AM, 10, FALSE), 1)</f>
        <v>3.7857848070679942E-4</v>
      </c>
      <c r="R6" s="7">
        <f>$B6 * IFERROR(VLOOKUP("buildings|SO2|Asthma symptoms cough", US_national_yearly!$D:$AM, 26, FALSE) / VLOOKUP("buildings|SO2|Asthma symptoms cough", US_national_yearly!$D:$AM, 10, FALSE), 1)</f>
        <v>3.7857848070679942E-4</v>
      </c>
      <c r="S6" s="7">
        <f>$B6 * IFERROR(VLOOKUP("buildings|SO2|Asthma symptoms cough", US_national_yearly!$D:$AM, 27, FALSE) / VLOOKUP("buildings|SO2|Asthma symptoms cough", US_national_yearly!$D:$AM, 10, FALSE), 1)</f>
        <v>3.7857848070679942E-4</v>
      </c>
      <c r="T6" s="7">
        <f>$B6 * IFERROR(VLOOKUP("buildings|SO2|Asthma symptoms cough", US_national_yearly!$D:$AM, 28, FALSE) / VLOOKUP("buildings|SO2|Asthma symptoms cough", US_national_yearly!$D:$AM, 10, FALSE), 1)</f>
        <v>3.7857848070679942E-4</v>
      </c>
      <c r="U6" s="7">
        <f>$B6 * IFERROR(VLOOKUP("buildings|SO2|Asthma symptoms cough", US_national_yearly!$D:$AM, 29, FALSE) / VLOOKUP("buildings|SO2|Asthma symptoms cough", US_national_yearly!$D:$AM, 10, FALSE), 1)</f>
        <v>3.7857848070679942E-4</v>
      </c>
      <c r="V6" s="7">
        <f>$B6 * IFERROR(VLOOKUP("buildings|SO2|Asthma symptoms cough", US_national_yearly!$D:$AM, 30, FALSE) / VLOOKUP("buildings|SO2|Asthma symptoms cough", US_national_yearly!$D:$AM, 10, FALSE), 1)</f>
        <v>3.7857848070679942E-4</v>
      </c>
      <c r="W6" s="7">
        <f>$B6 * IFERROR(VLOOKUP("buildings|SO2|Asthma symptoms cough", US_national_yearly!$D:$AM, 31, FALSE) / VLOOKUP("buildings|SO2|Asthma symptoms cough", US_national_yearly!$D:$AM, 10, FALSE), 1)</f>
        <v>3.7857848070679942E-4</v>
      </c>
      <c r="X6" s="7">
        <f>$B6 * IFERROR(VLOOKUP("buildings|SO2|Asthma symptoms cough", US_national_yearly!$D:$AM, 32, FALSE) / VLOOKUP("buildings|SO2|Asthma symptoms cough", US_national_yearly!$D:$AM, 10, FALSE), 1)</f>
        <v>3.7857848070679942E-4</v>
      </c>
      <c r="Y6" s="7">
        <f>$B6 * IFERROR(VLOOKUP("buildings|SO2|Asthma symptoms cough", US_national_yearly!$D:$AM, 33, FALSE) / VLOOKUP("buildings|SO2|Asthma symptoms cough", US_national_yearly!$D:$AM, 10, FALSE), 1)</f>
        <v>3.7857848070679942E-4</v>
      </c>
      <c r="Z6" s="7">
        <f>$B6 * IFERROR(VLOOKUP("buildings|SO2|Asthma symptoms cough", US_national_yearly!$D:$AM, 34, FALSE) / VLOOKUP("buildings|SO2|Asthma symptoms cough", US_national_yearly!$D:$AM, 10, FALSE), 1)</f>
        <v>3.7857848070679942E-4</v>
      </c>
      <c r="AA6" s="7">
        <f>$B6 * IFERROR(VLOOKUP("buildings|SO2|Asthma symptoms cough", US_national_yearly!$D:$AM, 35, FALSE) / VLOOKUP("buildings|SO2|Asthma symptoms cough", US_national_yearly!$D:$AM, 10, FALSE), 1)</f>
        <v>3.7857848070679942E-4</v>
      </c>
      <c r="AB6" s="7">
        <f>$B6 * IFERROR(VLOOKUP("buildings|SO2|Asthma symptoms cough", US_national_yearly!$D:$AM, 36, FALSE) / VLOOKUP("buildings|SO2|Asthma symptoms cough", US_national_yearly!$D:$AM, 10, FALSE), 1)</f>
        <v>3.7857848070679942E-4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5.0981161899245797E-4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5.0981161899245797E-4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5.0981161899245797E-4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5.0981161899245797E-4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5.0981161899245797E-4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5.0981161899245797E-4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5.0981161899245797E-4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5.0981161899245797E-4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5.0981161899245797E-4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5.0981161899245797E-4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5.0981161899245797E-4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5.0981161899245797E-4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5.0981161899245797E-4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5.0981161899245797E-4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5.0981161899245797E-4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5.0981161899245797E-4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5.0981161899245797E-4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5.0981161899245797E-4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5.0981161899245797E-4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5.0981161899245797E-4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5.0981161899245797E-4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5.0981161899245797E-4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5.0981161899245797E-4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5.0981161899245797E-4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5.0981161899245797E-4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5.0981161899245797E-4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5.0981161899245797E-4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7.7890330082213874E-4</v>
      </c>
      <c r="C8" s="7">
        <f>$B8 * IFERROR(VLOOKUP("buildings|SO2|Asthma symptoms wheeze", US_national_yearly!$D:$AM, 11, FALSE) / VLOOKUP("buildings|SO2|Asthma symptoms wheeze", US_national_yearly!$D:$AM, 10, FALSE), 1)</f>
        <v>7.7890330082213874E-4</v>
      </c>
      <c r="D8" s="7">
        <f>$B8 * IFERROR(VLOOKUP("buildings|SO2|Asthma symptoms wheeze", US_national_yearly!$D:$AM, 12, FALSE) / VLOOKUP("buildings|SO2|Asthma symptoms wheeze", US_national_yearly!$D:$AM, 10, FALSE), 1)</f>
        <v>7.7890330082213874E-4</v>
      </c>
      <c r="E8" s="7">
        <f>$B8 * IFERROR(VLOOKUP("buildings|SO2|Asthma symptoms wheeze", US_national_yearly!$D:$AM, 13, FALSE) / VLOOKUP("buildings|SO2|Asthma symptoms wheeze", US_national_yearly!$D:$AM, 10, FALSE), 1)</f>
        <v>7.7890330082213874E-4</v>
      </c>
      <c r="F8" s="7">
        <f>$B8 * IFERROR(VLOOKUP("buildings|SO2|Asthma symptoms wheeze", US_national_yearly!$D:$AM, 14, FALSE) / VLOOKUP("buildings|SO2|Asthma symptoms wheeze", US_national_yearly!$D:$AM, 10, FALSE), 1)</f>
        <v>7.7890330082213874E-4</v>
      </c>
      <c r="G8" s="7">
        <f>$B8 * IFERROR(VLOOKUP("buildings|SO2|Asthma symptoms wheeze", US_national_yearly!$D:$AM, 15, FALSE) / VLOOKUP("buildings|SO2|Asthma symptoms wheeze", US_national_yearly!$D:$AM, 10, FALSE), 1)</f>
        <v>7.7890330082213874E-4</v>
      </c>
      <c r="H8" s="7">
        <f>$B8 * IFERROR(VLOOKUP("buildings|SO2|Asthma symptoms wheeze", US_national_yearly!$D:$AM, 16, FALSE) / VLOOKUP("buildings|SO2|Asthma symptoms wheeze", US_national_yearly!$D:$AM, 10, FALSE), 1)</f>
        <v>7.7890330082213874E-4</v>
      </c>
      <c r="I8" s="7">
        <f>$B8 * IFERROR(VLOOKUP("buildings|SO2|Asthma symptoms wheeze", US_national_yearly!$D:$AM, 17, FALSE) / VLOOKUP("buildings|SO2|Asthma symptoms wheeze", US_national_yearly!$D:$AM, 10, FALSE), 1)</f>
        <v>7.7890330082213874E-4</v>
      </c>
      <c r="J8" s="7">
        <f>$B8 * IFERROR(VLOOKUP("buildings|SO2|Asthma symptoms wheeze", US_national_yearly!$D:$AM, 18, FALSE) / VLOOKUP("buildings|SO2|Asthma symptoms wheeze", US_national_yearly!$D:$AM, 10, FALSE), 1)</f>
        <v>7.7890330082213874E-4</v>
      </c>
      <c r="K8" s="7">
        <f>$B8 * IFERROR(VLOOKUP("buildings|SO2|Asthma symptoms wheeze", US_national_yearly!$D:$AM, 19, FALSE) / VLOOKUP("buildings|SO2|Asthma symptoms wheeze", US_national_yearly!$D:$AM, 10, FALSE), 1)</f>
        <v>7.7890330082213874E-4</v>
      </c>
      <c r="L8" s="7">
        <f>$B8 * IFERROR(VLOOKUP("buildings|SO2|Asthma symptoms wheeze", US_national_yearly!$D:$AM, 20, FALSE) / VLOOKUP("buildings|SO2|Asthma symptoms wheeze", US_national_yearly!$D:$AM, 10, FALSE), 1)</f>
        <v>7.7890330082213874E-4</v>
      </c>
      <c r="M8" s="7">
        <f>$B8 * IFERROR(VLOOKUP("buildings|SO2|Asthma symptoms wheeze", US_national_yearly!$D:$AM, 21, FALSE) / VLOOKUP("buildings|SO2|Asthma symptoms wheeze", US_national_yearly!$D:$AM, 10, FALSE), 1)</f>
        <v>7.7890330082213874E-4</v>
      </c>
      <c r="N8" s="7">
        <f>$B8 * IFERROR(VLOOKUP("buildings|SO2|Asthma symptoms wheeze", US_national_yearly!$D:$AM, 22, FALSE) / VLOOKUP("buildings|SO2|Asthma symptoms wheeze", US_national_yearly!$D:$AM, 10, FALSE), 1)</f>
        <v>7.7890330082213874E-4</v>
      </c>
      <c r="O8" s="7">
        <f>$B8 * IFERROR(VLOOKUP("buildings|SO2|Asthma symptoms wheeze", US_national_yearly!$D:$AM, 23, FALSE) / VLOOKUP("buildings|SO2|Asthma symptoms wheeze", US_national_yearly!$D:$AM, 10, FALSE), 1)</f>
        <v>7.7890330082213874E-4</v>
      </c>
      <c r="P8" s="7">
        <f>$B8 * IFERROR(VLOOKUP("buildings|SO2|Asthma symptoms wheeze", US_national_yearly!$D:$AM, 24, FALSE) / VLOOKUP("buildings|SO2|Asthma symptoms wheeze", US_national_yearly!$D:$AM, 10, FALSE), 1)</f>
        <v>7.7890330082213874E-4</v>
      </c>
      <c r="Q8" s="7">
        <f>$B8 * IFERROR(VLOOKUP("buildings|SO2|Asthma symptoms wheeze", US_national_yearly!$D:$AM, 25, FALSE) / VLOOKUP("buildings|SO2|Asthma symptoms wheeze", US_national_yearly!$D:$AM, 10, FALSE), 1)</f>
        <v>7.7890330082213874E-4</v>
      </c>
      <c r="R8" s="7">
        <f>$B8 * IFERROR(VLOOKUP("buildings|SO2|Asthma symptoms wheeze", US_national_yearly!$D:$AM, 26, FALSE) / VLOOKUP("buildings|SO2|Asthma symptoms wheeze", US_national_yearly!$D:$AM, 10, FALSE), 1)</f>
        <v>7.7890330082213874E-4</v>
      </c>
      <c r="S8" s="7">
        <f>$B8 * IFERROR(VLOOKUP("buildings|SO2|Asthma symptoms wheeze", US_national_yearly!$D:$AM, 27, FALSE) / VLOOKUP("buildings|SO2|Asthma symptoms wheeze", US_national_yearly!$D:$AM, 10, FALSE), 1)</f>
        <v>7.7890330082213874E-4</v>
      </c>
      <c r="T8" s="7">
        <f>$B8 * IFERROR(VLOOKUP("buildings|SO2|Asthma symptoms wheeze", US_national_yearly!$D:$AM, 28, FALSE) / VLOOKUP("buildings|SO2|Asthma symptoms wheeze", US_national_yearly!$D:$AM, 10, FALSE), 1)</f>
        <v>7.7890330082213874E-4</v>
      </c>
      <c r="U8" s="7">
        <f>$B8 * IFERROR(VLOOKUP("buildings|SO2|Asthma symptoms wheeze", US_national_yearly!$D:$AM, 29, FALSE) / VLOOKUP("buildings|SO2|Asthma symptoms wheeze", US_national_yearly!$D:$AM, 10, FALSE), 1)</f>
        <v>7.7890330082213874E-4</v>
      </c>
      <c r="V8" s="7">
        <f>$B8 * IFERROR(VLOOKUP("buildings|SO2|Asthma symptoms wheeze", US_national_yearly!$D:$AM, 30, FALSE) / VLOOKUP("buildings|SO2|Asthma symptoms wheeze", US_national_yearly!$D:$AM, 10, FALSE), 1)</f>
        <v>7.7890330082213874E-4</v>
      </c>
      <c r="W8" s="7">
        <f>$B8 * IFERROR(VLOOKUP("buildings|SO2|Asthma symptoms wheeze", US_national_yearly!$D:$AM, 31, FALSE) / VLOOKUP("buildings|SO2|Asthma symptoms wheeze", US_national_yearly!$D:$AM, 10, FALSE), 1)</f>
        <v>7.7890330082213874E-4</v>
      </c>
      <c r="X8" s="7">
        <f>$B8 * IFERROR(VLOOKUP("buildings|SO2|Asthma symptoms wheeze", US_national_yearly!$D:$AM, 32, FALSE) / VLOOKUP("buildings|SO2|Asthma symptoms wheeze", US_national_yearly!$D:$AM, 10, FALSE), 1)</f>
        <v>7.7890330082213874E-4</v>
      </c>
      <c r="Y8" s="7">
        <f>$B8 * IFERROR(VLOOKUP("buildings|SO2|Asthma symptoms wheeze", US_national_yearly!$D:$AM, 33, FALSE) / VLOOKUP("buildings|SO2|Asthma symptoms wheeze", US_national_yearly!$D:$AM, 10, FALSE), 1)</f>
        <v>7.7890330082213874E-4</v>
      </c>
      <c r="Z8" s="7">
        <f>$B8 * IFERROR(VLOOKUP("buildings|SO2|Asthma symptoms wheeze", US_national_yearly!$D:$AM, 34, FALSE) / VLOOKUP("buildings|SO2|Asthma symptoms wheeze", US_national_yearly!$D:$AM, 10, FALSE), 1)</f>
        <v>7.7890330082213874E-4</v>
      </c>
      <c r="AA8" s="7">
        <f>$B8 * IFERROR(VLOOKUP("buildings|SO2|Asthma symptoms wheeze", US_national_yearly!$D:$AM, 35, FALSE) / VLOOKUP("buildings|SO2|Asthma symptoms wheeze", US_national_yearly!$D:$AM, 10, FALSE), 1)</f>
        <v>7.7890330082213874E-4</v>
      </c>
      <c r="AB8" s="7">
        <f>$B8 * IFERROR(VLOOKUP("buildings|SO2|Asthma symptoms wheeze", US_national_yearly!$D:$AM, 36, FALSE) / VLOOKUP("buildings|SO2|Asthma symptoms wheeze", US_national_yearly!$D:$AM, 10, FALSE), 1)</f>
        <v>7.7890330082213874E-4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1.1475684087325652E-5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1.1543463872965467E-5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1.1611243658605282E-5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1.1679023444245099E-5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1.174680322988491E-5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1.1820674656928251E-5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1.1894546083971592E-5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1.196724371769338E-5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1.2039941351415169E-5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1.2112638985136957E-5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1.2185336618858743E-5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1.2258034252580534E-5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1.2311115559618276E-5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1.2364196866656019E-5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1.2417278173693761E-5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1.2470359480731504E-5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1.2523440787769246E-5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1.2574054437113349E-5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1.2624668086457455E-5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1.2675281735801558E-5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1.2725895385145662E-5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1.2776509034489767E-5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1.2824605207163291E-5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1.287270137983682E-5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1.2920797552510345E-5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1.2968893725183869E-5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1.3016989897857398E-5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5.8861572089599493E-5</v>
      </c>
      <c r="C13" s="7">
        <f>$B13 * IFERROR(VLOOKUP("buildings|SO2|Non-fatal heart attacks", US_national_yearly!$D:$AM, 11, FALSE) / VLOOKUP("buildings|SO2|Non-fatal heart attacks", US_national_yearly!$D:$AM, 10, FALSE), 1)</f>
        <v>6.0590092711949874E-5</v>
      </c>
      <c r="D13" s="7">
        <f>$B13 * IFERROR(VLOOKUP("buildings|SO2|Non-fatal heart attacks", US_national_yearly!$D:$AM, 12, FALSE) / VLOOKUP("buildings|SO2|Non-fatal heart attacks", US_national_yearly!$D:$AM, 10, FALSE), 1)</f>
        <v>6.231861333430024E-5</v>
      </c>
      <c r="E13" s="7">
        <f>$B13 * IFERROR(VLOOKUP("buildings|SO2|Non-fatal heart attacks", US_national_yearly!$D:$AM, 13, FALSE) / VLOOKUP("buildings|SO2|Non-fatal heart attacks", US_national_yearly!$D:$AM, 10, FALSE), 1)</f>
        <v>6.40471339566506E-5</v>
      </c>
      <c r="F13" s="7">
        <f>$B13 * IFERROR(VLOOKUP("buildings|SO2|Non-fatal heart attacks", US_national_yearly!$D:$AM, 14, FALSE) / VLOOKUP("buildings|SO2|Non-fatal heart attacks", US_national_yearly!$D:$AM, 10, FALSE), 1)</f>
        <v>6.5775654579000974E-5</v>
      </c>
      <c r="G13" s="7">
        <f>$B13 * IFERROR(VLOOKUP("buildings|SO2|Non-fatal heart attacks", US_national_yearly!$D:$AM, 15, FALSE) / VLOOKUP("buildings|SO2|Non-fatal heart attacks", US_national_yearly!$D:$AM, 10, FALSE), 1)</f>
        <v>6.7405928302188289E-5</v>
      </c>
      <c r="H13" s="7">
        <f>$B13 * IFERROR(VLOOKUP("buildings|SO2|Non-fatal heart attacks", US_national_yearly!$D:$AM, 16, FALSE) / VLOOKUP("buildings|SO2|Non-fatal heart attacks", US_national_yearly!$D:$AM, 10, FALSE), 1)</f>
        <v>6.9036202025375617E-5</v>
      </c>
      <c r="I13" s="7">
        <f>$B13 * IFERROR(VLOOKUP("buildings|SO2|Non-fatal heart attacks", US_national_yearly!$D:$AM, 17, FALSE) / VLOOKUP("buildings|SO2|Non-fatal heart attacks", US_national_yearly!$D:$AM, 10, FALSE), 1)</f>
        <v>7.0348464311853476E-5</v>
      </c>
      <c r="J13" s="7">
        <f>$B13 * IFERROR(VLOOKUP("buildings|SO2|Non-fatal heart attacks", US_national_yearly!$D:$AM, 18, FALSE) / VLOOKUP("buildings|SO2|Non-fatal heart attacks", US_national_yearly!$D:$AM, 10, FALSE), 1)</f>
        <v>7.1660726598331349E-5</v>
      </c>
      <c r="K13" s="7">
        <f>$B13 * IFERROR(VLOOKUP("buildings|SO2|Non-fatal heart attacks", US_national_yearly!$D:$AM, 19, FALSE) / VLOOKUP("buildings|SO2|Non-fatal heart attacks", US_national_yearly!$D:$AM, 10, FALSE), 1)</f>
        <v>7.2972988884809222E-5</v>
      </c>
      <c r="L13" s="7">
        <f>$B13 * IFERROR(VLOOKUP("buildings|SO2|Non-fatal heart attacks", US_national_yearly!$D:$AM, 20, FALSE) / VLOOKUP("buildings|SO2|Non-fatal heart attacks", US_national_yearly!$D:$AM, 10, FALSE), 1)</f>
        <v>7.4285251171287109E-5</v>
      </c>
      <c r="M13" s="7">
        <f>$B13 * IFERROR(VLOOKUP("buildings|SO2|Non-fatal heart attacks", US_national_yearly!$D:$AM, 21, FALSE) / VLOOKUP("buildings|SO2|Non-fatal heart attacks", US_national_yearly!$D:$AM, 10, FALSE), 1)</f>
        <v>7.5597513457764982E-5</v>
      </c>
      <c r="N13" s="7">
        <f>$B13 * IFERROR(VLOOKUP("buildings|SO2|Non-fatal heart attacks", US_national_yearly!$D:$AM, 22, FALSE) / VLOOKUP("buildings|SO2|Non-fatal heart attacks", US_national_yearly!$D:$AM, 10, FALSE), 1)</f>
        <v>7.6449232683298206E-5</v>
      </c>
      <c r="O13" s="7">
        <f>$B13 * IFERROR(VLOOKUP("buildings|SO2|Non-fatal heart attacks", US_national_yearly!$D:$AM, 23, FALSE) / VLOOKUP("buildings|SO2|Non-fatal heart attacks", US_national_yearly!$D:$AM, 10, FALSE), 1)</f>
        <v>7.7300951908831458E-5</v>
      </c>
      <c r="P13" s="7">
        <f>$B13 * IFERROR(VLOOKUP("buildings|SO2|Non-fatal heart attacks", US_national_yearly!$D:$AM, 24, FALSE) / VLOOKUP("buildings|SO2|Non-fatal heart attacks", US_national_yearly!$D:$AM, 10, FALSE), 1)</f>
        <v>7.8152671134364696E-5</v>
      </c>
      <c r="Q13" s="7">
        <f>$B13 * IFERROR(VLOOKUP("buildings|SO2|Non-fatal heart attacks", US_national_yearly!$D:$AM, 25, FALSE) / VLOOKUP("buildings|SO2|Non-fatal heart attacks", US_national_yearly!$D:$AM, 10, FALSE), 1)</f>
        <v>7.9004390359897934E-5</v>
      </c>
      <c r="R13" s="7">
        <f>$B13 * IFERROR(VLOOKUP("buildings|SO2|Non-fatal heart attacks", US_national_yearly!$D:$AM, 26, FALSE) / VLOOKUP("buildings|SO2|Non-fatal heart attacks", US_national_yearly!$D:$AM, 10, FALSE), 1)</f>
        <v>7.9856109585431172E-5</v>
      </c>
      <c r="S13" s="7">
        <f>$B13 * IFERROR(VLOOKUP("buildings|SO2|Non-fatal heart attacks", US_national_yearly!$D:$AM, 27, FALSE) / VLOOKUP("buildings|SO2|Non-fatal heart attacks", US_national_yearly!$D:$AM, 10, FALSE), 1)</f>
        <v>8.0300875970419329E-5</v>
      </c>
      <c r="T13" s="7">
        <f>$B13 * IFERROR(VLOOKUP("buildings|SO2|Non-fatal heart attacks", US_national_yearly!$D:$AM, 28, FALSE) / VLOOKUP("buildings|SO2|Non-fatal heart attacks", US_national_yearly!$D:$AM, 10, FALSE), 1)</f>
        <v>8.0745642355407486E-5</v>
      </c>
      <c r="U13" s="7">
        <f>$B13 * IFERROR(VLOOKUP("buildings|SO2|Non-fatal heart attacks", US_national_yearly!$D:$AM, 29, FALSE) / VLOOKUP("buildings|SO2|Non-fatal heart attacks", US_national_yearly!$D:$AM, 10, FALSE), 1)</f>
        <v>8.1190408740395615E-5</v>
      </c>
      <c r="V13" s="7">
        <f>$B13 * IFERROR(VLOOKUP("buildings|SO2|Non-fatal heart attacks", US_national_yearly!$D:$AM, 30, FALSE) / VLOOKUP("buildings|SO2|Non-fatal heart attacks", US_national_yearly!$D:$AM, 10, FALSE), 1)</f>
        <v>8.1635175125383772E-5</v>
      </c>
      <c r="W13" s="7">
        <f>$B13 * IFERROR(VLOOKUP("buildings|SO2|Non-fatal heart attacks", US_national_yearly!$D:$AM, 31, FALSE) / VLOOKUP("buildings|SO2|Non-fatal heart attacks", US_national_yearly!$D:$AM, 10, FALSE), 1)</f>
        <v>8.2079941510371915E-5</v>
      </c>
      <c r="X13" s="7">
        <f>$B13 * IFERROR(VLOOKUP("buildings|SO2|Non-fatal heart attacks", US_national_yearly!$D:$AM, 32, FALSE) / VLOOKUP("buildings|SO2|Non-fatal heart attacks", US_national_yearly!$D:$AM, 10, FALSE), 1)</f>
        <v>8.2415861745516826E-5</v>
      </c>
      <c r="Y13" s="7">
        <f>$B13 * IFERROR(VLOOKUP("buildings|SO2|Non-fatal heart attacks", US_national_yearly!$D:$AM, 33, FALSE) / VLOOKUP("buildings|SO2|Non-fatal heart attacks", US_national_yearly!$D:$AM, 10, FALSE), 1)</f>
        <v>8.2751781980661737E-5</v>
      </c>
      <c r="Z13" s="7">
        <f>$B13 * IFERROR(VLOOKUP("buildings|SO2|Non-fatal heart attacks", US_national_yearly!$D:$AM, 34, FALSE) / VLOOKUP("buildings|SO2|Non-fatal heart attacks", US_national_yearly!$D:$AM, 10, FALSE), 1)</f>
        <v>8.308770221580662E-5</v>
      </c>
      <c r="AA13" s="7">
        <f>$B13 * IFERROR(VLOOKUP("buildings|SO2|Non-fatal heart attacks", US_national_yearly!$D:$AM, 35, FALSE) / VLOOKUP("buildings|SO2|Non-fatal heart attacks", US_national_yearly!$D:$AM, 10, FALSE), 1)</f>
        <v>8.3423622450951531E-5</v>
      </c>
      <c r="AB13" s="7">
        <f>$B13 * IFERROR(VLOOKUP("buildings|SO2|Non-fatal heart attacks", US_national_yearly!$D:$AM, 36, FALSE) / VLOOKUP("buildings|SO2|Non-fatal heart attacks", US_national_yearly!$D:$AM, 10, FALSE), 1)</f>
        <v>8.3759542686096428E-5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3.9558872717775827E-2</v>
      </c>
      <c r="C14" s="7">
        <f>$B14 * IFERROR(VLOOKUP("buildings|SO2|Minor restricted activity days", US_national_yearly!$D:$AM, 11, FALSE) / VLOOKUP("buildings|SO2|Minor restricted activity days", US_national_yearly!$D:$AM, 10, FALSE), 1)</f>
        <v>3.9659013920167387E-2</v>
      </c>
      <c r="D14" s="7">
        <f>$B14 * IFERROR(VLOOKUP("buildings|SO2|Minor restricted activity days", US_national_yearly!$D:$AM, 12, FALSE) / VLOOKUP("buildings|SO2|Minor restricted activity days", US_national_yearly!$D:$AM, 10, FALSE), 1)</f>
        <v>3.9759155122558953E-2</v>
      </c>
      <c r="E14" s="7">
        <f>$B14 * IFERROR(VLOOKUP("buildings|SO2|Minor restricted activity days", US_national_yearly!$D:$AM, 13, FALSE) / VLOOKUP("buildings|SO2|Minor restricted activity days", US_national_yearly!$D:$AM, 10, FALSE), 1)</f>
        <v>3.985929632495052E-2</v>
      </c>
      <c r="F14" s="7">
        <f>$B14 * IFERROR(VLOOKUP("buildings|SO2|Minor restricted activity days", US_national_yearly!$D:$AM, 14, FALSE) / VLOOKUP("buildings|SO2|Minor restricted activity days", US_national_yearly!$D:$AM, 10, FALSE), 1)</f>
        <v>3.995943752734208E-2</v>
      </c>
      <c r="G14" s="7">
        <f>$B14 * IFERROR(VLOOKUP("buildings|SO2|Minor restricted activity days", US_national_yearly!$D:$AM, 15, FALSE) / VLOOKUP("buildings|SO2|Minor restricted activity days", US_national_yearly!$D:$AM, 10, FALSE), 1)</f>
        <v>4.0106684773191438E-2</v>
      </c>
      <c r="H14" s="7">
        <f>$B14 * IFERROR(VLOOKUP("buildings|SO2|Minor restricted activity days", US_national_yearly!$D:$AM, 16, FALSE) / VLOOKUP("buildings|SO2|Minor restricted activity days", US_national_yearly!$D:$AM, 10, FALSE), 1)</f>
        <v>4.0253932019040789E-2</v>
      </c>
      <c r="I14" s="7">
        <f>$B14 * IFERROR(VLOOKUP("buildings|SO2|Minor restricted activity days", US_national_yearly!$D:$AM, 17, FALSE) / VLOOKUP("buildings|SO2|Minor restricted activity days", US_national_yearly!$D:$AM, 10, FALSE), 1)</f>
        <v>4.0504708897033087E-2</v>
      </c>
      <c r="J14" s="7">
        <f>$B14 * IFERROR(VLOOKUP("buildings|SO2|Minor restricted activity days", US_national_yearly!$D:$AM, 18, FALSE) / VLOOKUP("buildings|SO2|Minor restricted activity days", US_national_yearly!$D:$AM, 10, FALSE), 1)</f>
        <v>4.0755485775025399E-2</v>
      </c>
      <c r="K14" s="7">
        <f>$B14 * IFERROR(VLOOKUP("buildings|SO2|Minor restricted activity days", US_national_yearly!$D:$AM, 19, FALSE) / VLOOKUP("buildings|SO2|Minor restricted activity days", US_national_yearly!$D:$AM, 10, FALSE), 1)</f>
        <v>4.1006262653017697E-2</v>
      </c>
      <c r="L14" s="7">
        <f>$B14 * IFERROR(VLOOKUP("buildings|SO2|Minor restricted activity days", US_national_yearly!$D:$AM, 20, FALSE) / VLOOKUP("buildings|SO2|Minor restricted activity days", US_national_yearly!$D:$AM, 10, FALSE), 1)</f>
        <v>4.1257039531009995E-2</v>
      </c>
      <c r="M14" s="7">
        <f>$B14 * IFERROR(VLOOKUP("buildings|SO2|Minor restricted activity days", US_national_yearly!$D:$AM, 21, FALSE) / VLOOKUP("buildings|SO2|Minor restricted activity days", US_national_yearly!$D:$AM, 10, FALSE), 1)</f>
        <v>4.1507816409002293E-2</v>
      </c>
      <c r="N14" s="7">
        <f>$B14 * IFERROR(VLOOKUP("buildings|SO2|Minor restricted activity days", US_national_yearly!$D:$AM, 22, FALSE) / VLOOKUP("buildings|SO2|Minor restricted activity days", US_national_yearly!$D:$AM, 10, FALSE), 1)</f>
        <v>4.1850740611535472E-2</v>
      </c>
      <c r="O14" s="7">
        <f>$B14 * IFERROR(VLOOKUP("buildings|SO2|Minor restricted activity days", US_national_yearly!$D:$AM, 23, FALSE) / VLOOKUP("buildings|SO2|Minor restricted activity days", US_national_yearly!$D:$AM, 10, FALSE), 1)</f>
        <v>4.2193664814068652E-2</v>
      </c>
      <c r="P14" s="7">
        <f>$B14 * IFERROR(VLOOKUP("buildings|SO2|Minor restricted activity days", US_national_yearly!$D:$AM, 24, FALSE) / VLOOKUP("buildings|SO2|Minor restricted activity days", US_national_yearly!$D:$AM, 10, FALSE), 1)</f>
        <v>4.2536589016601824E-2</v>
      </c>
      <c r="Q14" s="7">
        <f>$B14 * IFERROR(VLOOKUP("buildings|SO2|Minor restricted activity days", US_national_yearly!$D:$AM, 25, FALSE) / VLOOKUP("buildings|SO2|Minor restricted activity days", US_national_yearly!$D:$AM, 10, FALSE), 1)</f>
        <v>4.2879513219135003E-2</v>
      </c>
      <c r="R14" s="7">
        <f>$B14 * IFERROR(VLOOKUP("buildings|SO2|Minor restricted activity days", US_national_yearly!$D:$AM, 26, FALSE) / VLOOKUP("buildings|SO2|Minor restricted activity days", US_national_yearly!$D:$AM, 10, FALSE), 1)</f>
        <v>4.3222437421668182E-2</v>
      </c>
      <c r="S14" s="7">
        <f>$B14 * IFERROR(VLOOKUP("buildings|SO2|Minor restricted activity days", US_national_yearly!$D:$AM, 27, FALSE) / VLOOKUP("buildings|SO2|Minor restricted activity days", US_national_yearly!$D:$AM, 10, FALSE), 1)</f>
        <v>4.3572026382916629E-2</v>
      </c>
      <c r="T14" s="7">
        <f>$B14 * IFERROR(VLOOKUP("buildings|SO2|Minor restricted activity days", US_national_yearly!$D:$AM, 28, FALSE) / VLOOKUP("buildings|SO2|Minor restricted activity days", US_national_yearly!$D:$AM, 10, FALSE), 1)</f>
        <v>4.3921615344165076E-2</v>
      </c>
      <c r="U14" s="7">
        <f>$B14 * IFERROR(VLOOKUP("buildings|SO2|Minor restricted activity days", US_national_yearly!$D:$AM, 29, FALSE) / VLOOKUP("buildings|SO2|Minor restricted activity days", US_national_yearly!$D:$AM, 10, FALSE), 1)</f>
        <v>4.4271204305413529E-2</v>
      </c>
      <c r="V14" s="7">
        <f>$B14 * IFERROR(VLOOKUP("buildings|SO2|Minor restricted activity days", US_national_yearly!$D:$AM, 30, FALSE) / VLOOKUP("buildings|SO2|Minor restricted activity days", US_national_yearly!$D:$AM, 10, FALSE), 1)</f>
        <v>4.4620793266661976E-2</v>
      </c>
      <c r="W14" s="7">
        <f>$B14 * IFERROR(VLOOKUP("buildings|SO2|Minor restricted activity days", US_national_yearly!$D:$AM, 31, FALSE) / VLOOKUP("buildings|SO2|Minor restricted activity days", US_national_yearly!$D:$AM, 10, FALSE), 1)</f>
        <v>4.497038222791043E-2</v>
      </c>
      <c r="X14" s="7">
        <f>$B14 * IFERROR(VLOOKUP("buildings|SO2|Minor restricted activity days", US_national_yearly!$D:$AM, 32, FALSE) / VLOOKUP("buildings|SO2|Minor restricted activity days", US_national_yearly!$D:$AM, 10, FALSE), 1)</f>
        <v>4.5277825488274664E-2</v>
      </c>
      <c r="Y14" s="7">
        <f>$B14 * IFERROR(VLOOKUP("buildings|SO2|Minor restricted activity days", US_national_yearly!$D:$AM, 33, FALSE) / VLOOKUP("buildings|SO2|Minor restricted activity days", US_national_yearly!$D:$AM, 10, FALSE), 1)</f>
        <v>4.5585268748638906E-2</v>
      </c>
      <c r="Z14" s="7">
        <f>$B14 * IFERROR(VLOOKUP("buildings|SO2|Minor restricted activity days", US_national_yearly!$D:$AM, 34, FALSE) / VLOOKUP("buildings|SO2|Minor restricted activity days", US_national_yearly!$D:$AM, 10, FALSE), 1)</f>
        <v>4.5892712009003141E-2</v>
      </c>
      <c r="AA14" s="7">
        <f>$B14 * IFERROR(VLOOKUP("buildings|SO2|Minor restricted activity days", US_national_yearly!$D:$AM, 35, FALSE) / VLOOKUP("buildings|SO2|Minor restricted activity days", US_national_yearly!$D:$AM, 10, FALSE), 1)</f>
        <v>4.6200155269367382E-2</v>
      </c>
      <c r="AB14" s="7">
        <f>$B14 * IFERROR(VLOOKUP("buildings|SO2|Minor restricted activity days", US_national_yearly!$D:$AM, 36, FALSE) / VLOOKUP("buildings|SO2|Minor restricted activity days", US_national_yearly!$D:$AM, 10, FALSE), 1)</f>
        <v>4.6507598529731617E-2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6.7012823239928718E-3</v>
      </c>
      <c r="C15" s="7">
        <f>$B15 * IFERROR(VLOOKUP("buildings|SO2|Work loss days", US_national_yearly!$D:$AM, 11, FALSE) / VLOOKUP("buildings|SO2|Work loss days", US_national_yearly!$D:$AM, 10, FALSE), 1)</f>
        <v>6.7230546811309667E-3</v>
      </c>
      <c r="D15" s="7">
        <f>$B15 * IFERROR(VLOOKUP("buildings|SO2|Work loss days", US_national_yearly!$D:$AM, 12, FALSE) / VLOOKUP("buildings|SO2|Work loss days", US_national_yearly!$D:$AM, 10, FALSE), 1)</f>
        <v>6.7448270382690616E-3</v>
      </c>
      <c r="E15" s="7">
        <f>$B15 * IFERROR(VLOOKUP("buildings|SO2|Work loss days", US_national_yearly!$D:$AM, 13, FALSE) / VLOOKUP("buildings|SO2|Work loss days", US_national_yearly!$D:$AM, 10, FALSE), 1)</f>
        <v>6.7665993954071565E-3</v>
      </c>
      <c r="F15" s="7">
        <f>$B15 * IFERROR(VLOOKUP("buildings|SO2|Work loss days", US_national_yearly!$D:$AM, 14, FALSE) / VLOOKUP("buildings|SO2|Work loss days", US_national_yearly!$D:$AM, 10, FALSE), 1)</f>
        <v>6.7883717525452506E-3</v>
      </c>
      <c r="G15" s="7">
        <f>$B15 * IFERROR(VLOOKUP("buildings|SO2|Work loss days", US_national_yearly!$D:$AM, 15, FALSE) / VLOOKUP("buildings|SO2|Work loss days", US_national_yearly!$D:$AM, 10, FALSE), 1)</f>
        <v>6.8168076558198223E-3</v>
      </c>
      <c r="H15" s="7">
        <f>$B15 * IFERROR(VLOOKUP("buildings|SO2|Work loss days", US_national_yearly!$D:$AM, 16, FALSE) / VLOOKUP("buildings|SO2|Work loss days", US_national_yearly!$D:$AM, 10, FALSE), 1)</f>
        <v>6.8452435590943958E-3</v>
      </c>
      <c r="I15" s="7">
        <f>$B15 * IFERROR(VLOOKUP("buildings|SO2|Work loss days", US_national_yearly!$D:$AM, 17, FALSE) / VLOOKUP("buildings|SO2|Work loss days", US_national_yearly!$D:$AM, 10, FALSE), 1)</f>
        <v>6.8868184413009249E-3</v>
      </c>
      <c r="J15" s="7">
        <f>$B15 * IFERROR(VLOOKUP("buildings|SO2|Work loss days", US_national_yearly!$D:$AM, 18, FALSE) / VLOOKUP("buildings|SO2|Work loss days", US_national_yearly!$D:$AM, 10, FALSE), 1)</f>
        <v>6.928393323507454E-3</v>
      </c>
      <c r="K15" s="7">
        <f>$B15 * IFERROR(VLOOKUP("buildings|SO2|Work loss days", US_national_yearly!$D:$AM, 19, FALSE) / VLOOKUP("buildings|SO2|Work loss days", US_national_yearly!$D:$AM, 10, FALSE), 1)</f>
        <v>6.9699682057139832E-3</v>
      </c>
      <c r="L15" s="7">
        <f>$B15 * IFERROR(VLOOKUP("buildings|SO2|Work loss days", US_national_yearly!$D:$AM, 20, FALSE) / VLOOKUP("buildings|SO2|Work loss days", US_national_yearly!$D:$AM, 10, FALSE), 1)</f>
        <v>7.0115430879205123E-3</v>
      </c>
      <c r="M15" s="7">
        <f>$B15 * IFERROR(VLOOKUP("buildings|SO2|Work loss days", US_national_yearly!$D:$AM, 21, FALSE) / VLOOKUP("buildings|SO2|Work loss days", US_national_yearly!$D:$AM, 10, FALSE), 1)</f>
        <v>7.0531179701270406E-3</v>
      </c>
      <c r="N15" s="7">
        <f>$B15 * IFERROR(VLOOKUP("buildings|SO2|Work loss days", US_national_yearly!$D:$AM, 22, FALSE) / VLOOKUP("buildings|SO2|Work loss days", US_national_yearly!$D:$AM, 10, FALSE), 1)</f>
        <v>7.1052521913640265E-3</v>
      </c>
      <c r="O15" s="7">
        <f>$B15 * IFERROR(VLOOKUP("buildings|SO2|Work loss days", US_national_yearly!$D:$AM, 23, FALSE) / VLOOKUP("buildings|SO2|Work loss days", US_national_yearly!$D:$AM, 10, FALSE), 1)</f>
        <v>7.1573864126010106E-3</v>
      </c>
      <c r="P15" s="7">
        <f>$B15 * IFERROR(VLOOKUP("buildings|SO2|Work loss days", US_national_yearly!$D:$AM, 24, FALSE) / VLOOKUP("buildings|SO2|Work loss days", US_national_yearly!$D:$AM, 10, FALSE), 1)</f>
        <v>7.2095206338379956E-3</v>
      </c>
      <c r="Q15" s="7">
        <f>$B15 * IFERROR(VLOOKUP("buildings|SO2|Work loss days", US_national_yearly!$D:$AM, 25, FALSE) / VLOOKUP("buildings|SO2|Work loss days", US_national_yearly!$D:$AM, 10, FALSE), 1)</f>
        <v>7.2616548550749815E-3</v>
      </c>
      <c r="R15" s="7">
        <f>$B15 * IFERROR(VLOOKUP("buildings|SO2|Work loss days", US_national_yearly!$D:$AM, 26, FALSE) / VLOOKUP("buildings|SO2|Work loss days", US_national_yearly!$D:$AM, 10, FALSE), 1)</f>
        <v>7.3137890763119639E-3</v>
      </c>
      <c r="S15" s="7">
        <f>$B15 * IFERROR(VLOOKUP("buildings|SO2|Work loss days", US_national_yearly!$D:$AM, 27, FALSE) / VLOOKUP("buildings|SO2|Work loss days", US_national_yearly!$D:$AM, 10, FALSE), 1)</f>
        <v>7.372027568106029E-3</v>
      </c>
      <c r="T15" s="7">
        <f>$B15 * IFERROR(VLOOKUP("buildings|SO2|Work loss days", US_national_yearly!$D:$AM, 28, FALSE) / VLOOKUP("buildings|SO2|Work loss days", US_national_yearly!$D:$AM, 10, FALSE), 1)</f>
        <v>7.4302660599000932E-3</v>
      </c>
      <c r="U15" s="7">
        <f>$B15 * IFERROR(VLOOKUP("buildings|SO2|Work loss days", US_national_yearly!$D:$AM, 29, FALSE) / VLOOKUP("buildings|SO2|Work loss days", US_national_yearly!$D:$AM, 10, FALSE), 1)</f>
        <v>7.4885045516941574E-3</v>
      </c>
      <c r="V15" s="7">
        <f>$B15 * IFERROR(VLOOKUP("buildings|SO2|Work loss days", US_national_yearly!$D:$AM, 30, FALSE) / VLOOKUP("buildings|SO2|Work loss days", US_national_yearly!$D:$AM, 10, FALSE), 1)</f>
        <v>7.5467430434882207E-3</v>
      </c>
      <c r="W15" s="7">
        <f>$B15 * IFERROR(VLOOKUP("buildings|SO2|Work loss days", US_national_yearly!$D:$AM, 31, FALSE) / VLOOKUP("buildings|SO2|Work loss days", US_national_yearly!$D:$AM, 10, FALSE), 1)</f>
        <v>7.6049815352822849E-3</v>
      </c>
      <c r="X15" s="7">
        <f>$B15 * IFERROR(VLOOKUP("buildings|SO2|Work loss days", US_national_yearly!$D:$AM, 32, FALSE) / VLOOKUP("buildings|SO2|Work loss days", US_national_yearly!$D:$AM, 10, FALSE), 1)</f>
        <v>7.6572728361123058E-3</v>
      </c>
      <c r="Y15" s="7">
        <f>$B15 * IFERROR(VLOOKUP("buildings|SO2|Work loss days", US_national_yearly!$D:$AM, 33, FALSE) / VLOOKUP("buildings|SO2|Work loss days", US_national_yearly!$D:$AM, 10, FALSE), 1)</f>
        <v>7.7095641369423259E-3</v>
      </c>
      <c r="Z15" s="7">
        <f>$B15 * IFERROR(VLOOKUP("buildings|SO2|Work loss days", US_national_yearly!$D:$AM, 34, FALSE) / VLOOKUP("buildings|SO2|Work loss days", US_national_yearly!$D:$AM, 10, FALSE), 1)</f>
        <v>7.7618554377723451E-3</v>
      </c>
      <c r="AA15" s="7">
        <f>$B15 * IFERROR(VLOOKUP("buildings|SO2|Work loss days", US_national_yearly!$D:$AM, 35, FALSE) / VLOOKUP("buildings|SO2|Work loss days", US_national_yearly!$D:$AM, 10, FALSE), 1)</f>
        <v>7.814146738602366E-3</v>
      </c>
      <c r="AB15" s="7">
        <f>$B15 * IFERROR(VLOOKUP("buildings|SO2|Work loss days", US_national_yearly!$D:$AM, 36, FALSE) / VLOOKUP("buildings|SO2|Work loss days", US_national_yearly!$D:$AM, 10, FALSE), 1)</f>
        <v>7.8664380394323843E-3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1.1731786386644786E-5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1.2086665398846727E-5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1.2441544411048668E-5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1.2796423423250613E-5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1.3151302435452555E-5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1.349125527234808E-5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1.3831208109243604E-5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1.4122547005636929E-5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1.4413885902030248E-5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1.4705224798423573E-5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1.4996563694816895E-5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1.5287902591210215E-5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1.5483530821382815E-5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1.5679159051555418E-5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1.5874787281728021E-5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1.607041551190062E-5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1.6266043742073223E-5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1.6368920495729346E-5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1.6471797249385469E-5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1.6574674003041588E-5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1.6677550756697711E-5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1.6780427510353834E-5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1.6849509481705265E-5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1.6918591453056696E-5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1.6987673424408128E-5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1.7056755395759559E-5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1.712583736711099E-5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2.1107425245030223E-3</v>
      </c>
      <c r="C2" s="7">
        <f>$B2 * IFERROR(VLOOKUP("industry|PM25|Premature mortality", US_national_yearly!$D:$AM, 11, FALSE) / VLOOKUP("industry|PM25|Premature mortality", US_national_yearly!$D:$AM, 10, FALSE), 1)</f>
        <v>2.13702816661688E-3</v>
      </c>
      <c r="D2" s="7">
        <f>$B2 * IFERROR(VLOOKUP("industry|PM25|Premature mortality", US_national_yearly!$D:$AM, 12, FALSE) / VLOOKUP("industry|PM25|Premature mortality", US_national_yearly!$D:$AM, 10, FALSE), 1)</f>
        <v>2.1633138087307378E-3</v>
      </c>
      <c r="E2" s="7">
        <f>$B2 * IFERROR(VLOOKUP("industry|PM25|Premature mortality", US_national_yearly!$D:$AM, 13, FALSE) / VLOOKUP("industry|PM25|Premature mortality", US_national_yearly!$D:$AM, 10, FALSE), 1)</f>
        <v>2.1895994508445956E-3</v>
      </c>
      <c r="F2" s="7">
        <f>$B2 * IFERROR(VLOOKUP("industry|PM25|Premature mortality", US_national_yearly!$D:$AM, 14, FALSE) / VLOOKUP("industry|PM25|Premature mortality", US_national_yearly!$D:$AM, 10, FALSE), 1)</f>
        <v>2.2158850929584529E-3</v>
      </c>
      <c r="G2" s="7">
        <f>$B2 * IFERROR(VLOOKUP("industry|PM25|Premature mortality", US_national_yearly!$D:$AM, 15, FALSE) / VLOOKUP("industry|PM25|Premature mortality", US_national_yearly!$D:$AM, 10, FALSE), 1)</f>
        <v>2.2670234014106195E-3</v>
      </c>
      <c r="H2" s="7">
        <f>$B2 * IFERROR(VLOOKUP("industry|PM25|Premature mortality", US_national_yearly!$D:$AM, 16, FALSE) / VLOOKUP("industry|PM25|Premature mortality", US_national_yearly!$D:$AM, 10, FALSE), 1)</f>
        <v>2.3181617098627866E-3</v>
      </c>
      <c r="I2" s="7">
        <f>$B2 * IFERROR(VLOOKUP("industry|PM25|Premature mortality", US_national_yearly!$D:$AM, 17, FALSE) / VLOOKUP("industry|PM25|Premature mortality", US_national_yearly!$D:$AM, 10, FALSE), 1)</f>
        <v>2.3519281649334515E-3</v>
      </c>
      <c r="J2" s="7">
        <f>$B2 * IFERROR(VLOOKUP("industry|PM25|Premature mortality", US_national_yearly!$D:$AM, 18, FALSE) / VLOOKUP("industry|PM25|Premature mortality", US_national_yearly!$D:$AM, 10, FALSE), 1)</f>
        <v>2.385694620004116E-3</v>
      </c>
      <c r="K2" s="7">
        <f>$B2 * IFERROR(VLOOKUP("industry|PM25|Premature mortality", US_national_yearly!$D:$AM, 19, FALSE) / VLOOKUP("industry|PM25|Premature mortality", US_national_yearly!$D:$AM, 10, FALSE), 1)</f>
        <v>2.4194610750747805E-3</v>
      </c>
      <c r="L2" s="7">
        <f>$B2 * IFERROR(VLOOKUP("industry|PM25|Premature mortality", US_national_yearly!$D:$AM, 20, FALSE) / VLOOKUP("industry|PM25|Premature mortality", US_national_yearly!$D:$AM, 10, FALSE), 1)</f>
        <v>2.4532275301454454E-3</v>
      </c>
      <c r="M2" s="7">
        <f>$B2 * IFERROR(VLOOKUP("industry|PM25|Premature mortality", US_national_yearly!$D:$AM, 21, FALSE) / VLOOKUP("industry|PM25|Premature mortality", US_national_yearly!$D:$AM, 10, FALSE), 1)</f>
        <v>2.4869939852161104E-3</v>
      </c>
      <c r="N2" s="7">
        <f>$B2 * IFERROR(VLOOKUP("industry|PM25|Premature mortality", US_national_yearly!$D:$AM, 22, FALSE) / VLOOKUP("industry|PM25|Premature mortality", US_national_yearly!$D:$AM, 10, FALSE), 1)</f>
        <v>2.5133009406422251E-3</v>
      </c>
      <c r="O2" s="7">
        <f>$B2 * IFERROR(VLOOKUP("industry|PM25|Premature mortality", US_national_yearly!$D:$AM, 23, FALSE) / VLOOKUP("industry|PM25|Premature mortality", US_national_yearly!$D:$AM, 10, FALSE), 1)</f>
        <v>2.5396078960683399E-3</v>
      </c>
      <c r="P2" s="7">
        <f>$B2 * IFERROR(VLOOKUP("industry|PM25|Premature mortality", US_national_yearly!$D:$AM, 24, FALSE) / VLOOKUP("industry|PM25|Premature mortality", US_national_yearly!$D:$AM, 10, FALSE), 1)</f>
        <v>2.5659148514944547E-3</v>
      </c>
      <c r="Q2" s="7">
        <f>$B2 * IFERROR(VLOOKUP("industry|PM25|Premature mortality", US_national_yearly!$D:$AM, 25, FALSE) / VLOOKUP("industry|PM25|Premature mortality", US_national_yearly!$D:$AM, 10, FALSE), 1)</f>
        <v>2.5922218069205699E-3</v>
      </c>
      <c r="R2" s="7">
        <f>$B2 * IFERROR(VLOOKUP("industry|PM25|Premature mortality", US_national_yearly!$D:$AM, 26, FALSE) / VLOOKUP("industry|PM25|Premature mortality", US_national_yearly!$D:$AM, 10, FALSE), 1)</f>
        <v>2.6185287623466842E-3</v>
      </c>
      <c r="S2" s="7">
        <f>$B2 * IFERROR(VLOOKUP("industry|PM25|Premature mortality", US_national_yearly!$D:$AM, 27, FALSE) / VLOOKUP("industry|PM25|Premature mortality", US_national_yearly!$D:$AM, 10, FALSE), 1)</f>
        <v>2.6327335425590866E-3</v>
      </c>
      <c r="T2" s="7">
        <f>$B2 * IFERROR(VLOOKUP("industry|PM25|Premature mortality", US_national_yearly!$D:$AM, 28, FALSE) / VLOOKUP("industry|PM25|Premature mortality", US_national_yearly!$D:$AM, 10, FALSE), 1)</f>
        <v>2.6469383227714885E-3</v>
      </c>
      <c r="U2" s="7">
        <f>$B2 * IFERROR(VLOOKUP("industry|PM25|Premature mortality", US_national_yearly!$D:$AM, 29, FALSE) / VLOOKUP("industry|PM25|Premature mortality", US_national_yearly!$D:$AM, 10, FALSE), 1)</f>
        <v>2.6611431029838917E-3</v>
      </c>
      <c r="V2" s="7">
        <f>$B2 * IFERROR(VLOOKUP("industry|PM25|Premature mortality", US_national_yearly!$D:$AM, 30, FALSE) / VLOOKUP("industry|PM25|Premature mortality", US_national_yearly!$D:$AM, 10, FALSE), 1)</f>
        <v>2.6753478831962941E-3</v>
      </c>
      <c r="W2" s="7">
        <f>$B2 * IFERROR(VLOOKUP("industry|PM25|Premature mortality", US_national_yearly!$D:$AM, 31, FALSE) / VLOOKUP("industry|PM25|Premature mortality", US_national_yearly!$D:$AM, 10, FALSE), 1)</f>
        <v>2.689552663408696E-3</v>
      </c>
      <c r="X2" s="7">
        <f>$B2 * IFERROR(VLOOKUP("industry|PM25|Premature mortality", US_national_yearly!$D:$AM, 32, FALSE) / VLOOKUP("industry|PM25|Premature mortality", US_national_yearly!$D:$AM, 10, FALSE), 1)</f>
        <v>2.6924854526358798E-3</v>
      </c>
      <c r="Y2" s="7">
        <f>$B2 * IFERROR(VLOOKUP("industry|PM25|Premature mortality", US_national_yearly!$D:$AM, 33, FALSE) / VLOOKUP("industry|PM25|Premature mortality", US_national_yearly!$D:$AM, 10, FALSE), 1)</f>
        <v>2.6954182418630654E-3</v>
      </c>
      <c r="Z2" s="7">
        <f>$B2 * IFERROR(VLOOKUP("industry|PM25|Premature mortality", US_national_yearly!$D:$AM, 34, FALSE) / VLOOKUP("industry|PM25|Premature mortality", US_national_yearly!$D:$AM, 10, FALSE), 1)</f>
        <v>2.6983510310902492E-3</v>
      </c>
      <c r="AA2" s="7">
        <f>$B2 * IFERROR(VLOOKUP("industry|PM25|Premature mortality", US_national_yearly!$D:$AM, 35, FALSE) / VLOOKUP("industry|PM25|Premature mortality", US_national_yearly!$D:$AM, 10, FALSE), 1)</f>
        <v>2.7012838203174343E-3</v>
      </c>
      <c r="AB2" s="7">
        <f>$B2 * IFERROR(VLOOKUP("industry|PM25|Premature mortality", US_national_yearly!$D:$AM, 36, FALSE) / VLOOKUP("industry|PM25|Premature mortality", US_national_yearly!$D:$AM, 10, FALSE), 1)</f>
        <v>2.7042166095446185E-3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6.8637714082144271E-6</v>
      </c>
      <c r="C3" s="7">
        <f>$B3 * IFERROR(VLOOKUP("industry|PM25|Infant mortality", US_national_yearly!$D:$AM, 11, FALSE) / VLOOKUP("industry|PM25|Infant mortality", US_national_yearly!$D:$AM, 10, FALSE), 1)</f>
        <v>6.804009588028263E-6</v>
      </c>
      <c r="D3" s="7">
        <f>$B3 * IFERROR(VLOOKUP("industry|PM25|Infant mortality", US_national_yearly!$D:$AM, 12, FALSE) / VLOOKUP("industry|PM25|Infant mortality", US_national_yearly!$D:$AM, 10, FALSE), 1)</f>
        <v>6.744247767842098E-6</v>
      </c>
      <c r="E3" s="7">
        <f>$B3 * IFERROR(VLOOKUP("industry|PM25|Infant mortality", US_national_yearly!$D:$AM, 13, FALSE) / VLOOKUP("industry|PM25|Infant mortality", US_national_yearly!$D:$AM, 10, FALSE), 1)</f>
        <v>6.6844859476559314E-6</v>
      </c>
      <c r="F3" s="7">
        <f>$B3 * IFERROR(VLOOKUP("industry|PM25|Infant mortality", US_national_yearly!$D:$AM, 14, FALSE) / VLOOKUP("industry|PM25|Infant mortality", US_national_yearly!$D:$AM, 10, FALSE), 1)</f>
        <v>6.6247241274697673E-6</v>
      </c>
      <c r="G3" s="7">
        <f>$B3 * IFERROR(VLOOKUP("industry|PM25|Infant mortality", US_national_yearly!$D:$AM, 15, FALSE) / VLOOKUP("industry|PM25|Infant mortality", US_national_yearly!$D:$AM, 10, FALSE), 1)</f>
        <v>4.4016985953886084E-6</v>
      </c>
      <c r="H3" s="7">
        <f>$B3 * IFERROR(VLOOKUP("industry|PM25|Infant mortality", US_national_yearly!$D:$AM, 16, FALSE) / VLOOKUP("industry|PM25|Infant mortality", US_national_yearly!$D:$AM, 10, FALSE), 1)</f>
        <v>2.1786730633074486E-6</v>
      </c>
      <c r="I3" s="7">
        <f>$B3 * IFERROR(VLOOKUP("industry|PM25|Infant mortality", US_national_yearly!$D:$AM, 17, FALSE) / VLOOKUP("industry|PM25|Infant mortality", US_national_yearly!$D:$AM, 10, FALSE), 1)</f>
        <v>2.1641718452167513E-6</v>
      </c>
      <c r="J3" s="7">
        <f>$B3 * IFERROR(VLOOKUP("industry|PM25|Infant mortality", US_national_yearly!$D:$AM, 18, FALSE) / VLOOKUP("industry|PM25|Infant mortality", US_national_yearly!$D:$AM, 10, FALSE), 1)</f>
        <v>2.1496706271260544E-6</v>
      </c>
      <c r="K3" s="7">
        <f>$B3 * IFERROR(VLOOKUP("industry|PM25|Infant mortality", US_national_yearly!$D:$AM, 19, FALSE) / VLOOKUP("industry|PM25|Infant mortality", US_national_yearly!$D:$AM, 10, FALSE), 1)</f>
        <v>2.1351694090353571E-6</v>
      </c>
      <c r="L3" s="7">
        <f>$B3 * IFERROR(VLOOKUP("industry|PM25|Infant mortality", US_national_yearly!$D:$AM, 20, FALSE) / VLOOKUP("industry|PM25|Infant mortality", US_national_yearly!$D:$AM, 10, FALSE), 1)</f>
        <v>2.1206681909446597E-6</v>
      </c>
      <c r="M3" s="7">
        <f>$B3 * IFERROR(VLOOKUP("industry|PM25|Infant mortality", US_national_yearly!$D:$AM, 21, FALSE) / VLOOKUP("industry|PM25|Infant mortality", US_national_yearly!$D:$AM, 10, FALSE), 1)</f>
        <v>2.1061669728539628E-6</v>
      </c>
      <c r="N3" s="7">
        <f>$B3 * IFERROR(VLOOKUP("industry|PM25|Infant mortality", US_national_yearly!$D:$AM, 22, FALSE) / VLOOKUP("industry|PM25|Infant mortality", US_national_yearly!$D:$AM, 10, FALSE), 1)</f>
        <v>2.096913783596029E-6</v>
      </c>
      <c r="O3" s="7">
        <f>$B3 * IFERROR(VLOOKUP("industry|PM25|Infant mortality", US_national_yearly!$D:$AM, 23, FALSE) / VLOOKUP("industry|PM25|Infant mortality", US_national_yearly!$D:$AM, 10, FALSE), 1)</f>
        <v>2.0876605943380957E-6</v>
      </c>
      <c r="P3" s="7">
        <f>$B3 * IFERROR(VLOOKUP("industry|PM25|Infant mortality", US_national_yearly!$D:$AM, 24, FALSE) / VLOOKUP("industry|PM25|Infant mortality", US_national_yearly!$D:$AM, 10, FALSE), 1)</f>
        <v>2.0784074050801623E-6</v>
      </c>
      <c r="Q3" s="7">
        <f>$B3 * IFERROR(VLOOKUP("industry|PM25|Infant mortality", US_national_yearly!$D:$AM, 25, FALSE) / VLOOKUP("industry|PM25|Infant mortality", US_national_yearly!$D:$AM, 10, FALSE), 1)</f>
        <v>2.0691542158222289E-6</v>
      </c>
      <c r="R3" s="7">
        <f>$B3 * IFERROR(VLOOKUP("industry|PM25|Infant mortality", US_national_yearly!$D:$AM, 26, FALSE) / VLOOKUP("industry|PM25|Infant mortality", US_national_yearly!$D:$AM, 10, FALSE), 1)</f>
        <v>2.0599010265642956E-6</v>
      </c>
      <c r="S3" s="7">
        <f>$B3 * IFERROR(VLOOKUP("industry|PM25|Infant mortality", US_national_yearly!$D:$AM, 27, FALSE) / VLOOKUP("industry|PM25|Infant mortality", US_national_yearly!$D:$AM, 10, FALSE), 1)</f>
        <v>2.0485204392509154E-6</v>
      </c>
      <c r="T3" s="7">
        <f>$B3 * IFERROR(VLOOKUP("industry|PM25|Infant mortality", US_national_yearly!$D:$AM, 28, FALSE) / VLOOKUP("industry|PM25|Infant mortality", US_national_yearly!$D:$AM, 10, FALSE), 1)</f>
        <v>2.0371398519375356E-6</v>
      </c>
      <c r="U3" s="7">
        <f>$B3 * IFERROR(VLOOKUP("industry|PM25|Infant mortality", US_national_yearly!$D:$AM, 29, FALSE) / VLOOKUP("industry|PM25|Infant mortality", US_national_yearly!$D:$AM, 10, FALSE), 1)</f>
        <v>2.0257592646241555E-6</v>
      </c>
      <c r="V3" s="7">
        <f>$B3 * IFERROR(VLOOKUP("industry|PM25|Infant mortality", US_national_yearly!$D:$AM, 30, FALSE) / VLOOKUP("industry|PM25|Infant mortality", US_national_yearly!$D:$AM, 10, FALSE), 1)</f>
        <v>2.0143786773107757E-6</v>
      </c>
      <c r="W3" s="7">
        <f>$B3 * IFERROR(VLOOKUP("industry|PM25|Infant mortality", US_national_yearly!$D:$AM, 31, FALSE) / VLOOKUP("industry|PM25|Infant mortality", US_national_yearly!$D:$AM, 10, FALSE), 1)</f>
        <v>2.002998089997396E-6</v>
      </c>
      <c r="X3" s="7">
        <f>$B3 * IFERROR(VLOOKUP("industry|PM25|Infant mortality", US_national_yearly!$D:$AM, 32, FALSE) / VLOOKUP("industry|PM25|Infant mortality", US_national_yearly!$D:$AM, 10, FALSE), 1)</f>
        <v>1.9908365064259548E-6</v>
      </c>
      <c r="Y3" s="7">
        <f>$B3 * IFERROR(VLOOKUP("industry|PM25|Infant mortality", US_national_yearly!$D:$AM, 33, FALSE) / VLOOKUP("industry|PM25|Infant mortality", US_national_yearly!$D:$AM, 10, FALSE), 1)</f>
        <v>1.9786749228545132E-6</v>
      </c>
      <c r="Z3" s="7">
        <f>$B3 * IFERROR(VLOOKUP("industry|PM25|Infant mortality", US_national_yearly!$D:$AM, 34, FALSE) / VLOOKUP("industry|PM25|Infant mortality", US_national_yearly!$D:$AM, 10, FALSE), 1)</f>
        <v>1.9665133392830716E-6</v>
      </c>
      <c r="AA3" s="7">
        <f>$B3 * IFERROR(VLOOKUP("industry|PM25|Infant mortality", US_national_yearly!$D:$AM, 35, FALSE) / VLOOKUP("industry|PM25|Infant mortality", US_national_yearly!$D:$AM, 10, FALSE), 1)</f>
        <v>1.9543517557116304E-6</v>
      </c>
      <c r="AB3" s="7">
        <f>$B3 * IFERROR(VLOOKUP("industry|PM25|Infant mortality", US_national_yearly!$D:$AM, 36, FALSE) / VLOOKUP("industry|PM25|Infant mortality", US_national_yearly!$D:$AM, 10, FALSE), 1)</f>
        <v>1.9421901721401888E-6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6.3233315049906575E-3</v>
      </c>
      <c r="C6" s="7">
        <f>$B6 * IFERROR(VLOOKUP("industry|PM25|Asthma symptoms cough", US_national_yearly!$D:$AM, 11, FALSE) / VLOOKUP("industry|PM25|Asthma symptoms cough", US_national_yearly!$D:$AM, 10, FALSE), 1)</f>
        <v>6.3233315049906575E-3</v>
      </c>
      <c r="D6" s="7">
        <f>$B6 * IFERROR(VLOOKUP("industry|PM25|Asthma symptoms cough", US_national_yearly!$D:$AM, 12, FALSE) / VLOOKUP("industry|PM25|Asthma symptoms cough", US_national_yearly!$D:$AM, 10, FALSE), 1)</f>
        <v>6.3233315049906575E-3</v>
      </c>
      <c r="E6" s="7">
        <f>$B6 * IFERROR(VLOOKUP("industry|PM25|Asthma symptoms cough", US_national_yearly!$D:$AM, 13, FALSE) / VLOOKUP("industry|PM25|Asthma symptoms cough", US_national_yearly!$D:$AM, 10, FALSE), 1)</f>
        <v>6.3233315049906575E-3</v>
      </c>
      <c r="F6" s="7">
        <f>$B6 * IFERROR(VLOOKUP("industry|PM25|Asthma symptoms cough", US_national_yearly!$D:$AM, 14, FALSE) / VLOOKUP("industry|PM25|Asthma symptoms cough", US_national_yearly!$D:$AM, 10, FALSE), 1)</f>
        <v>6.3233315049906575E-3</v>
      </c>
      <c r="G6" s="7">
        <f>$B6 * IFERROR(VLOOKUP("industry|PM25|Asthma symptoms cough", US_national_yearly!$D:$AM, 15, FALSE) / VLOOKUP("industry|PM25|Asthma symptoms cough", US_national_yearly!$D:$AM, 10, FALSE), 1)</f>
        <v>6.3233315049906575E-3</v>
      </c>
      <c r="H6" s="7">
        <f>$B6 * IFERROR(VLOOKUP("industry|PM25|Asthma symptoms cough", US_national_yearly!$D:$AM, 16, FALSE) / VLOOKUP("industry|PM25|Asthma symptoms cough", US_national_yearly!$D:$AM, 10, FALSE), 1)</f>
        <v>6.3233315049906575E-3</v>
      </c>
      <c r="I6" s="7">
        <f>$B6 * IFERROR(VLOOKUP("industry|PM25|Asthma symptoms cough", US_national_yearly!$D:$AM, 17, FALSE) / VLOOKUP("industry|PM25|Asthma symptoms cough", US_national_yearly!$D:$AM, 10, FALSE), 1)</f>
        <v>6.3233315049906575E-3</v>
      </c>
      <c r="J6" s="7">
        <f>$B6 * IFERROR(VLOOKUP("industry|PM25|Asthma symptoms cough", US_national_yearly!$D:$AM, 18, FALSE) / VLOOKUP("industry|PM25|Asthma symptoms cough", US_national_yearly!$D:$AM, 10, FALSE), 1)</f>
        <v>6.3233315049906575E-3</v>
      </c>
      <c r="K6" s="7">
        <f>$B6 * IFERROR(VLOOKUP("industry|PM25|Asthma symptoms cough", US_national_yearly!$D:$AM, 19, FALSE) / VLOOKUP("industry|PM25|Asthma symptoms cough", US_national_yearly!$D:$AM, 10, FALSE), 1)</f>
        <v>6.3233315049906575E-3</v>
      </c>
      <c r="L6" s="7">
        <f>$B6 * IFERROR(VLOOKUP("industry|PM25|Asthma symptoms cough", US_national_yearly!$D:$AM, 20, FALSE) / VLOOKUP("industry|PM25|Asthma symptoms cough", US_national_yearly!$D:$AM, 10, FALSE), 1)</f>
        <v>6.3233315049906575E-3</v>
      </c>
      <c r="M6" s="7">
        <f>$B6 * IFERROR(VLOOKUP("industry|PM25|Asthma symptoms cough", US_national_yearly!$D:$AM, 21, FALSE) / VLOOKUP("industry|PM25|Asthma symptoms cough", US_national_yearly!$D:$AM, 10, FALSE), 1)</f>
        <v>6.3233315049906575E-3</v>
      </c>
      <c r="N6" s="7">
        <f>$B6 * IFERROR(VLOOKUP("industry|PM25|Asthma symptoms cough", US_national_yearly!$D:$AM, 22, FALSE) / VLOOKUP("industry|PM25|Asthma symptoms cough", US_national_yearly!$D:$AM, 10, FALSE), 1)</f>
        <v>6.3233315049906575E-3</v>
      </c>
      <c r="O6" s="7">
        <f>$B6 * IFERROR(VLOOKUP("industry|PM25|Asthma symptoms cough", US_national_yearly!$D:$AM, 23, FALSE) / VLOOKUP("industry|PM25|Asthma symptoms cough", US_national_yearly!$D:$AM, 10, FALSE), 1)</f>
        <v>6.3233315049906575E-3</v>
      </c>
      <c r="P6" s="7">
        <f>$B6 * IFERROR(VLOOKUP("industry|PM25|Asthma symptoms cough", US_national_yearly!$D:$AM, 24, FALSE) / VLOOKUP("industry|PM25|Asthma symptoms cough", US_national_yearly!$D:$AM, 10, FALSE), 1)</f>
        <v>6.3233315049906575E-3</v>
      </c>
      <c r="Q6" s="7">
        <f>$B6 * IFERROR(VLOOKUP("industry|PM25|Asthma symptoms cough", US_national_yearly!$D:$AM, 25, FALSE) / VLOOKUP("industry|PM25|Asthma symptoms cough", US_national_yearly!$D:$AM, 10, FALSE), 1)</f>
        <v>6.3233315049906575E-3</v>
      </c>
      <c r="R6" s="7">
        <f>$B6 * IFERROR(VLOOKUP("industry|PM25|Asthma symptoms cough", US_national_yearly!$D:$AM, 26, FALSE) / VLOOKUP("industry|PM25|Asthma symptoms cough", US_national_yearly!$D:$AM, 10, FALSE), 1)</f>
        <v>6.3233315049906575E-3</v>
      </c>
      <c r="S6" s="7">
        <f>$B6 * IFERROR(VLOOKUP("industry|PM25|Asthma symptoms cough", US_national_yearly!$D:$AM, 27, FALSE) / VLOOKUP("industry|PM25|Asthma symptoms cough", US_national_yearly!$D:$AM, 10, FALSE), 1)</f>
        <v>6.3233315049906575E-3</v>
      </c>
      <c r="T6" s="7">
        <f>$B6 * IFERROR(VLOOKUP("industry|PM25|Asthma symptoms cough", US_national_yearly!$D:$AM, 28, FALSE) / VLOOKUP("industry|PM25|Asthma symptoms cough", US_national_yearly!$D:$AM, 10, FALSE), 1)</f>
        <v>6.3233315049906575E-3</v>
      </c>
      <c r="U6" s="7">
        <f>$B6 * IFERROR(VLOOKUP("industry|PM25|Asthma symptoms cough", US_national_yearly!$D:$AM, 29, FALSE) / VLOOKUP("industry|PM25|Asthma symptoms cough", US_national_yearly!$D:$AM, 10, FALSE), 1)</f>
        <v>6.3233315049906575E-3</v>
      </c>
      <c r="V6" s="7">
        <f>$B6 * IFERROR(VLOOKUP("industry|PM25|Asthma symptoms cough", US_national_yearly!$D:$AM, 30, FALSE) / VLOOKUP("industry|PM25|Asthma symptoms cough", US_national_yearly!$D:$AM, 10, FALSE), 1)</f>
        <v>6.3233315049906575E-3</v>
      </c>
      <c r="W6" s="7">
        <f>$B6 * IFERROR(VLOOKUP("industry|PM25|Asthma symptoms cough", US_national_yearly!$D:$AM, 31, FALSE) / VLOOKUP("industry|PM25|Asthma symptoms cough", US_national_yearly!$D:$AM, 10, FALSE), 1)</f>
        <v>6.3233315049906575E-3</v>
      </c>
      <c r="X6" s="7">
        <f>$B6 * IFERROR(VLOOKUP("industry|PM25|Asthma symptoms cough", US_national_yearly!$D:$AM, 32, FALSE) / VLOOKUP("industry|PM25|Asthma symptoms cough", US_national_yearly!$D:$AM, 10, FALSE), 1)</f>
        <v>6.3233315049906575E-3</v>
      </c>
      <c r="Y6" s="7">
        <f>$B6 * IFERROR(VLOOKUP("industry|PM25|Asthma symptoms cough", US_national_yearly!$D:$AM, 33, FALSE) / VLOOKUP("industry|PM25|Asthma symptoms cough", US_national_yearly!$D:$AM, 10, FALSE), 1)</f>
        <v>6.3233315049906575E-3</v>
      </c>
      <c r="Z6" s="7">
        <f>$B6 * IFERROR(VLOOKUP("industry|PM25|Asthma symptoms cough", US_national_yearly!$D:$AM, 34, FALSE) / VLOOKUP("industry|PM25|Asthma symptoms cough", US_national_yearly!$D:$AM, 10, FALSE), 1)</f>
        <v>6.3233315049906575E-3</v>
      </c>
      <c r="AA6" s="7">
        <f>$B6 * IFERROR(VLOOKUP("industry|PM25|Asthma symptoms cough", US_national_yearly!$D:$AM, 35, FALSE) / VLOOKUP("industry|PM25|Asthma symptoms cough", US_national_yearly!$D:$AM, 10, FALSE), 1)</f>
        <v>6.3233315049906575E-3</v>
      </c>
      <c r="AB6" s="7">
        <f>$B6 * IFERROR(VLOOKUP("industry|PM25|Asthma symptoms cough", US_national_yearly!$D:$AM, 36, FALSE) / VLOOKUP("industry|PM25|Asthma symptoms cough", US_national_yearly!$D:$AM, 10, FALSE), 1)</f>
        <v>6.3233315049906575E-3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8.515231077855883E-3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8.515231077855883E-3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8.515231077855883E-3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8.515231077855883E-3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8.515231077855883E-3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8.515231077855883E-3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8.515231077855883E-3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8.515231077855883E-3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8.515231077855883E-3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8.515231077855883E-3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8.515231077855883E-3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8.515231077855883E-3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8.515231077855883E-3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8.515231077855883E-3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8.515231077855883E-3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8.515231077855883E-3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8.515231077855883E-3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8.515231077855883E-3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8.515231077855883E-3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8.515231077855883E-3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8.515231077855883E-3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8.515231077855883E-3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8.515231077855883E-3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8.515231077855883E-3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8.515231077855883E-3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8.515231077855883E-3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8.515231077855883E-3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1.3010016636649161E-2</v>
      </c>
      <c r="C8" s="7">
        <f>$B8 * IFERROR(VLOOKUP("industry|PM25|Asthma symptoms wheeze", US_national_yearly!$D:$AM, 11, FALSE) / VLOOKUP("industry|PM25|Asthma symptoms wheeze", US_national_yearly!$D:$AM, 10, FALSE), 1)</f>
        <v>1.3010016636649161E-2</v>
      </c>
      <c r="D8" s="7">
        <f>$B8 * IFERROR(VLOOKUP("industry|PM25|Asthma symptoms wheeze", US_national_yearly!$D:$AM, 12, FALSE) / VLOOKUP("industry|PM25|Asthma symptoms wheeze", US_national_yearly!$D:$AM, 10, FALSE), 1)</f>
        <v>1.3010016636649161E-2</v>
      </c>
      <c r="E8" s="7">
        <f>$B8 * IFERROR(VLOOKUP("industry|PM25|Asthma symptoms wheeze", US_national_yearly!$D:$AM, 13, FALSE) / VLOOKUP("industry|PM25|Asthma symptoms wheeze", US_national_yearly!$D:$AM, 10, FALSE), 1)</f>
        <v>1.3010016636649161E-2</v>
      </c>
      <c r="F8" s="7">
        <f>$B8 * IFERROR(VLOOKUP("industry|PM25|Asthma symptoms wheeze", US_national_yearly!$D:$AM, 14, FALSE) / VLOOKUP("industry|PM25|Asthma symptoms wheeze", US_national_yearly!$D:$AM, 10, FALSE), 1)</f>
        <v>1.3010016636649161E-2</v>
      </c>
      <c r="G8" s="7">
        <f>$B8 * IFERROR(VLOOKUP("industry|PM25|Asthma symptoms wheeze", US_national_yearly!$D:$AM, 15, FALSE) / VLOOKUP("industry|PM25|Asthma symptoms wheeze", US_national_yearly!$D:$AM, 10, FALSE), 1)</f>
        <v>1.3010016636649161E-2</v>
      </c>
      <c r="H8" s="7">
        <f>$B8 * IFERROR(VLOOKUP("industry|PM25|Asthma symptoms wheeze", US_national_yearly!$D:$AM, 16, FALSE) / VLOOKUP("industry|PM25|Asthma symptoms wheeze", US_national_yearly!$D:$AM, 10, FALSE), 1)</f>
        <v>1.3010016636649161E-2</v>
      </c>
      <c r="I8" s="7">
        <f>$B8 * IFERROR(VLOOKUP("industry|PM25|Asthma symptoms wheeze", US_national_yearly!$D:$AM, 17, FALSE) / VLOOKUP("industry|PM25|Asthma symptoms wheeze", US_national_yearly!$D:$AM, 10, FALSE), 1)</f>
        <v>1.3010016636649161E-2</v>
      </c>
      <c r="J8" s="7">
        <f>$B8 * IFERROR(VLOOKUP("industry|PM25|Asthma symptoms wheeze", US_national_yearly!$D:$AM, 18, FALSE) / VLOOKUP("industry|PM25|Asthma symptoms wheeze", US_national_yearly!$D:$AM, 10, FALSE), 1)</f>
        <v>1.3010016636649161E-2</v>
      </c>
      <c r="K8" s="7">
        <f>$B8 * IFERROR(VLOOKUP("industry|PM25|Asthma symptoms wheeze", US_national_yearly!$D:$AM, 19, FALSE) / VLOOKUP("industry|PM25|Asthma symptoms wheeze", US_national_yearly!$D:$AM, 10, FALSE), 1)</f>
        <v>1.3010016636649161E-2</v>
      </c>
      <c r="L8" s="7">
        <f>$B8 * IFERROR(VLOOKUP("industry|PM25|Asthma symptoms wheeze", US_national_yearly!$D:$AM, 20, FALSE) / VLOOKUP("industry|PM25|Asthma symptoms wheeze", US_national_yearly!$D:$AM, 10, FALSE), 1)</f>
        <v>1.3010016636649161E-2</v>
      </c>
      <c r="M8" s="7">
        <f>$B8 * IFERROR(VLOOKUP("industry|PM25|Asthma symptoms wheeze", US_national_yearly!$D:$AM, 21, FALSE) / VLOOKUP("industry|PM25|Asthma symptoms wheeze", US_national_yearly!$D:$AM, 10, FALSE), 1)</f>
        <v>1.3010016636649161E-2</v>
      </c>
      <c r="N8" s="7">
        <f>$B8 * IFERROR(VLOOKUP("industry|PM25|Asthma symptoms wheeze", US_national_yearly!$D:$AM, 22, FALSE) / VLOOKUP("industry|PM25|Asthma symptoms wheeze", US_national_yearly!$D:$AM, 10, FALSE), 1)</f>
        <v>1.3010016636649161E-2</v>
      </c>
      <c r="O8" s="7">
        <f>$B8 * IFERROR(VLOOKUP("industry|PM25|Asthma symptoms wheeze", US_national_yearly!$D:$AM, 23, FALSE) / VLOOKUP("industry|PM25|Asthma symptoms wheeze", US_national_yearly!$D:$AM, 10, FALSE), 1)</f>
        <v>1.3010016636649161E-2</v>
      </c>
      <c r="P8" s="7">
        <f>$B8 * IFERROR(VLOOKUP("industry|PM25|Asthma symptoms wheeze", US_national_yearly!$D:$AM, 24, FALSE) / VLOOKUP("industry|PM25|Asthma symptoms wheeze", US_national_yearly!$D:$AM, 10, FALSE), 1)</f>
        <v>1.3010016636649161E-2</v>
      </c>
      <c r="Q8" s="7">
        <f>$B8 * IFERROR(VLOOKUP("industry|PM25|Asthma symptoms wheeze", US_national_yearly!$D:$AM, 25, FALSE) / VLOOKUP("industry|PM25|Asthma symptoms wheeze", US_national_yearly!$D:$AM, 10, FALSE), 1)</f>
        <v>1.3010016636649161E-2</v>
      </c>
      <c r="R8" s="7">
        <f>$B8 * IFERROR(VLOOKUP("industry|PM25|Asthma symptoms wheeze", US_national_yearly!$D:$AM, 26, FALSE) / VLOOKUP("industry|PM25|Asthma symptoms wheeze", US_national_yearly!$D:$AM, 10, FALSE), 1)</f>
        <v>1.3010016636649161E-2</v>
      </c>
      <c r="S8" s="7">
        <f>$B8 * IFERROR(VLOOKUP("industry|PM25|Asthma symptoms wheeze", US_national_yearly!$D:$AM, 27, FALSE) / VLOOKUP("industry|PM25|Asthma symptoms wheeze", US_national_yearly!$D:$AM, 10, FALSE), 1)</f>
        <v>1.3010016636649161E-2</v>
      </c>
      <c r="T8" s="7">
        <f>$B8 * IFERROR(VLOOKUP("industry|PM25|Asthma symptoms wheeze", US_national_yearly!$D:$AM, 28, FALSE) / VLOOKUP("industry|PM25|Asthma symptoms wheeze", US_national_yearly!$D:$AM, 10, FALSE), 1)</f>
        <v>1.3010016636649161E-2</v>
      </c>
      <c r="U8" s="7">
        <f>$B8 * IFERROR(VLOOKUP("industry|PM25|Asthma symptoms wheeze", US_national_yearly!$D:$AM, 29, FALSE) / VLOOKUP("industry|PM25|Asthma symptoms wheeze", US_national_yearly!$D:$AM, 10, FALSE), 1)</f>
        <v>1.3010016636649161E-2</v>
      </c>
      <c r="V8" s="7">
        <f>$B8 * IFERROR(VLOOKUP("industry|PM25|Asthma symptoms wheeze", US_national_yearly!$D:$AM, 30, FALSE) / VLOOKUP("industry|PM25|Asthma symptoms wheeze", US_national_yearly!$D:$AM, 10, FALSE), 1)</f>
        <v>1.3010016636649161E-2</v>
      </c>
      <c r="W8" s="7">
        <f>$B8 * IFERROR(VLOOKUP("industry|PM25|Asthma symptoms wheeze", US_national_yearly!$D:$AM, 31, FALSE) / VLOOKUP("industry|PM25|Asthma symptoms wheeze", US_national_yearly!$D:$AM, 10, FALSE), 1)</f>
        <v>1.3010016636649161E-2</v>
      </c>
      <c r="X8" s="7">
        <f>$B8 * IFERROR(VLOOKUP("industry|PM25|Asthma symptoms wheeze", US_national_yearly!$D:$AM, 32, FALSE) / VLOOKUP("industry|PM25|Asthma symptoms wheeze", US_national_yearly!$D:$AM, 10, FALSE), 1)</f>
        <v>1.3010016636649161E-2</v>
      </c>
      <c r="Y8" s="7">
        <f>$B8 * IFERROR(VLOOKUP("industry|PM25|Asthma symptoms wheeze", US_national_yearly!$D:$AM, 33, FALSE) / VLOOKUP("industry|PM25|Asthma symptoms wheeze", US_national_yearly!$D:$AM, 10, FALSE), 1)</f>
        <v>1.3010016636649161E-2</v>
      </c>
      <c r="Z8" s="7">
        <f>$B8 * IFERROR(VLOOKUP("industry|PM25|Asthma symptoms wheeze", US_national_yearly!$D:$AM, 34, FALSE) / VLOOKUP("industry|PM25|Asthma symptoms wheeze", US_national_yearly!$D:$AM, 10, FALSE), 1)</f>
        <v>1.3010016636649161E-2</v>
      </c>
      <c r="AA8" s="7">
        <f>$B8 * IFERROR(VLOOKUP("industry|PM25|Asthma symptoms wheeze", US_national_yearly!$D:$AM, 35, FALSE) / VLOOKUP("industry|PM25|Asthma symptoms wheeze", US_national_yearly!$D:$AM, 10, FALSE), 1)</f>
        <v>1.3010016636649161E-2</v>
      </c>
      <c r="AB8" s="7">
        <f>$B8 * IFERROR(VLOOKUP("industry|PM25|Asthma symptoms wheeze", US_national_yearly!$D:$AM, 36, FALSE) / VLOOKUP("industry|PM25|Asthma symptoms wheeze", US_national_yearly!$D:$AM, 10, FALSE), 1)</f>
        <v>1.3010016636649161E-2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1.8385084120848102E-4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1.8489466606312534E-4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1.859384909177697E-4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1.8698231577241403E-4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1.8802614062705841E-4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1.8915471218301452E-4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1.9028328373897068E-4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1.913538758413761E-4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1.924244679437815E-4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1.934950600461869E-4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1.9456565214859229E-4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1.9563624425099772E-4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1.9639344405519585E-4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1.9715064385939394E-4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1.9790784366359205E-4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1.9866504346779013E-4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1.9942224327198826E-4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2.0013641655832113E-4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2.00850589844654E-4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2.0156476313098692E-4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2.0227893641731979E-4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2.0299310970365271E-4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2.0368075474742E-4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2.0436839979118726E-4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2.0505604483495461E-4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2.0574368987872192E-4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2.0643133492248921E-4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9.609380515354255E-4</v>
      </c>
      <c r="C13" s="7">
        <f>$B13 * IFERROR(VLOOKUP("industry|PM25|Non-fatal heart attacks", US_national_yearly!$D:$AM, 11, FALSE) / VLOOKUP("industry|PM25|Non-fatal heart attacks", US_national_yearly!$D:$AM, 10, FALSE), 1)</f>
        <v>9.8891121017926015E-4</v>
      </c>
      <c r="D13" s="7">
        <f>$B13 * IFERROR(VLOOKUP("industry|PM25|Non-fatal heart attacks", US_national_yearly!$D:$AM, 12, FALSE) / VLOOKUP("industry|PM25|Non-fatal heart attacks", US_national_yearly!$D:$AM, 10, FALSE), 1)</f>
        <v>1.0168843688230947E-3</v>
      </c>
      <c r="E13" s="7">
        <f>$B13 * IFERROR(VLOOKUP("industry|PM25|Non-fatal heart attacks", US_national_yearly!$D:$AM, 13, FALSE) / VLOOKUP("industry|PM25|Non-fatal heart attacks", US_national_yearly!$D:$AM, 10, FALSE), 1)</f>
        <v>1.0448575274669295E-3</v>
      </c>
      <c r="F13" s="7">
        <f>$B13 * IFERROR(VLOOKUP("industry|PM25|Non-fatal heart attacks", US_national_yearly!$D:$AM, 14, FALSE) / VLOOKUP("industry|PM25|Non-fatal heart attacks", US_national_yearly!$D:$AM, 10, FALSE), 1)</f>
        <v>1.072830686110764E-3</v>
      </c>
      <c r="G13" s="7">
        <f>$B13 * IFERROR(VLOOKUP("industry|PM25|Non-fatal heart attacks", US_national_yearly!$D:$AM, 15, FALSE) / VLOOKUP("industry|PM25|Non-fatal heart attacks", US_national_yearly!$D:$AM, 10, FALSE), 1)</f>
        <v>1.0992393147536339E-3</v>
      </c>
      <c r="H13" s="7">
        <f>$B13 * IFERROR(VLOOKUP("industry|PM25|Non-fatal heart attacks", US_national_yearly!$D:$AM, 16, FALSE) / VLOOKUP("industry|PM25|Non-fatal heart attacks", US_national_yearly!$D:$AM, 10, FALSE), 1)</f>
        <v>1.1256479433965037E-3</v>
      </c>
      <c r="I13" s="7">
        <f>$B13 * IFERROR(VLOOKUP("industry|PM25|Non-fatal heart attacks", US_national_yearly!$D:$AM, 17, FALSE) / VLOOKUP("industry|PM25|Non-fatal heart attacks", US_national_yearly!$D:$AM, 10, FALSE), 1)</f>
        <v>1.146973154915443E-3</v>
      </c>
      <c r="J13" s="7">
        <f>$B13 * IFERROR(VLOOKUP("industry|PM25|Non-fatal heart attacks", US_national_yearly!$D:$AM, 18, FALSE) / VLOOKUP("industry|PM25|Non-fatal heart attacks", US_national_yearly!$D:$AM, 10, FALSE), 1)</f>
        <v>1.1682983664343819E-3</v>
      </c>
      <c r="K13" s="7">
        <f>$B13 * IFERROR(VLOOKUP("industry|PM25|Non-fatal heart attacks", US_national_yearly!$D:$AM, 19, FALSE) / VLOOKUP("industry|PM25|Non-fatal heart attacks", US_national_yearly!$D:$AM, 10, FALSE), 1)</f>
        <v>1.1896235779533209E-3</v>
      </c>
      <c r="L13" s="7">
        <f>$B13 * IFERROR(VLOOKUP("industry|PM25|Non-fatal heart attacks", US_national_yearly!$D:$AM, 20, FALSE) / VLOOKUP("industry|PM25|Non-fatal heart attacks", US_national_yearly!$D:$AM, 10, FALSE), 1)</f>
        <v>1.2109487894722598E-3</v>
      </c>
      <c r="M13" s="7">
        <f>$B13 * IFERROR(VLOOKUP("industry|PM25|Non-fatal heart attacks", US_national_yearly!$D:$AM, 21, FALSE) / VLOOKUP("industry|PM25|Non-fatal heart attacks", US_national_yearly!$D:$AM, 10, FALSE), 1)</f>
        <v>1.2322740009911989E-3</v>
      </c>
      <c r="N13" s="7">
        <f>$B13 * IFERROR(VLOOKUP("industry|PM25|Non-fatal heart attacks", US_national_yearly!$D:$AM, 22, FALSE) / VLOOKUP("industry|PM25|Non-fatal heart attacks", US_national_yearly!$D:$AM, 10, FALSE), 1)</f>
        <v>1.2460619378589705E-3</v>
      </c>
      <c r="O13" s="7">
        <f>$B13 * IFERROR(VLOOKUP("industry|PM25|Non-fatal heart attacks", US_national_yearly!$D:$AM, 23, FALSE) / VLOOKUP("industry|PM25|Non-fatal heart attacks", US_national_yearly!$D:$AM, 10, FALSE), 1)</f>
        <v>1.2598498747267419E-3</v>
      </c>
      <c r="P13" s="7">
        <f>$B13 * IFERROR(VLOOKUP("industry|PM25|Non-fatal heart attacks", US_national_yearly!$D:$AM, 24, FALSE) / VLOOKUP("industry|PM25|Non-fatal heart attacks", US_national_yearly!$D:$AM, 10, FALSE), 1)</f>
        <v>1.2736378115945136E-3</v>
      </c>
      <c r="Q13" s="7">
        <f>$B13 * IFERROR(VLOOKUP("industry|PM25|Non-fatal heart attacks", US_national_yearly!$D:$AM, 25, FALSE) / VLOOKUP("industry|PM25|Non-fatal heart attacks", US_national_yearly!$D:$AM, 10, FALSE), 1)</f>
        <v>1.2874257484622848E-3</v>
      </c>
      <c r="R13" s="7">
        <f>$B13 * IFERROR(VLOOKUP("industry|PM25|Non-fatal heart attacks", US_national_yearly!$D:$AM, 26, FALSE) / VLOOKUP("industry|PM25|Non-fatal heart attacks", US_national_yearly!$D:$AM, 10, FALSE), 1)</f>
        <v>1.3012136853300564E-3</v>
      </c>
      <c r="S13" s="7">
        <f>$B13 * IFERROR(VLOOKUP("industry|PM25|Non-fatal heart attacks", US_national_yearly!$D:$AM, 27, FALSE) / VLOOKUP("industry|PM25|Non-fatal heart attacks", US_national_yearly!$D:$AM, 10, FALSE), 1)</f>
        <v>1.308577874662578E-3</v>
      </c>
      <c r="T13" s="7">
        <f>$B13 * IFERROR(VLOOKUP("industry|PM25|Non-fatal heart attacks", US_national_yearly!$D:$AM, 28, FALSE) / VLOOKUP("industry|PM25|Non-fatal heart attacks", US_national_yearly!$D:$AM, 10, FALSE), 1)</f>
        <v>1.3159420639951001E-3</v>
      </c>
      <c r="U13" s="7">
        <f>$B13 * IFERROR(VLOOKUP("industry|PM25|Non-fatal heart attacks", US_national_yearly!$D:$AM, 29, FALSE) / VLOOKUP("industry|PM25|Non-fatal heart attacks", US_national_yearly!$D:$AM, 10, FALSE), 1)</f>
        <v>1.3233062533276221E-3</v>
      </c>
      <c r="V13" s="7">
        <f>$B13 * IFERROR(VLOOKUP("industry|PM25|Non-fatal heart attacks", US_national_yearly!$D:$AM, 30, FALSE) / VLOOKUP("industry|PM25|Non-fatal heart attacks", US_national_yearly!$D:$AM, 10, FALSE), 1)</f>
        <v>1.3306704426601437E-3</v>
      </c>
      <c r="W13" s="7">
        <f>$B13 * IFERROR(VLOOKUP("industry|PM25|Non-fatal heart attacks", US_national_yearly!$D:$AM, 31, FALSE) / VLOOKUP("industry|PM25|Non-fatal heart attacks", US_national_yearly!$D:$AM, 10, FALSE), 1)</f>
        <v>1.3380346319926658E-3</v>
      </c>
      <c r="X13" s="7">
        <f>$B13 * IFERROR(VLOOKUP("industry|PM25|Non-fatal heart attacks", US_national_yearly!$D:$AM, 32, FALSE) / VLOOKUP("industry|PM25|Non-fatal heart attacks", US_national_yearly!$D:$AM, 10, FALSE), 1)</f>
        <v>1.3437182657970023E-3</v>
      </c>
      <c r="Y13" s="7">
        <f>$B13 * IFERROR(VLOOKUP("industry|PM25|Non-fatal heart attacks", US_national_yearly!$D:$AM, 33, FALSE) / VLOOKUP("industry|PM25|Non-fatal heart attacks", US_national_yearly!$D:$AM, 10, FALSE), 1)</f>
        <v>1.3494018996013386E-3</v>
      </c>
      <c r="Z13" s="7">
        <f>$B13 * IFERROR(VLOOKUP("industry|PM25|Non-fatal heart attacks", US_national_yearly!$D:$AM, 34, FALSE) / VLOOKUP("industry|PM25|Non-fatal heart attacks", US_national_yearly!$D:$AM, 10, FALSE), 1)</f>
        <v>1.3550855334056751E-3</v>
      </c>
      <c r="AA13" s="7">
        <f>$B13 * IFERROR(VLOOKUP("industry|PM25|Non-fatal heart attacks", US_national_yearly!$D:$AM, 35, FALSE) / VLOOKUP("industry|PM25|Non-fatal heart attacks", US_national_yearly!$D:$AM, 10, FALSE), 1)</f>
        <v>1.3607691672100116E-3</v>
      </c>
      <c r="AB13" s="7">
        <f>$B13 * IFERROR(VLOOKUP("industry|PM25|Non-fatal heart attacks", US_national_yearly!$D:$AM, 36, FALSE) / VLOOKUP("industry|PM25|Non-fatal heart attacks", US_national_yearly!$D:$AM, 10, FALSE), 1)</f>
        <v>1.3664528010143482E-3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0.67380256448896247</v>
      </c>
      <c r="C14" s="7">
        <f>$B14 * IFERROR(VLOOKUP("industry|PM25|Minor restricted activity days", US_national_yearly!$D:$AM, 11, FALSE) / VLOOKUP("industry|PM25|Minor restricted activity days", US_national_yearly!$D:$AM, 10, FALSE), 1)</f>
        <v>0.67545281865606743</v>
      </c>
      <c r="D14" s="7">
        <f>$B14 * IFERROR(VLOOKUP("industry|PM25|Minor restricted activity days", US_national_yearly!$D:$AM, 12, FALSE) / VLOOKUP("industry|PM25|Minor restricted activity days", US_national_yearly!$D:$AM, 10, FALSE), 1)</f>
        <v>0.67710307282317261</v>
      </c>
      <c r="E14" s="7">
        <f>$B14 * IFERROR(VLOOKUP("industry|PM25|Minor restricted activity days", US_national_yearly!$D:$AM, 13, FALSE) / VLOOKUP("industry|PM25|Minor restricted activity days", US_national_yearly!$D:$AM, 10, FALSE), 1)</f>
        <v>0.67875332699027757</v>
      </c>
      <c r="F14" s="7">
        <f>$B14 * IFERROR(VLOOKUP("industry|PM25|Minor restricted activity days", US_national_yearly!$D:$AM, 14, FALSE) / VLOOKUP("industry|PM25|Minor restricted activity days", US_national_yearly!$D:$AM, 10, FALSE), 1)</f>
        <v>0.68040358115738264</v>
      </c>
      <c r="G14" s="7">
        <f>$B14 * IFERROR(VLOOKUP("industry|PM25|Minor restricted activity days", US_national_yearly!$D:$AM, 15, FALSE) / VLOOKUP("industry|PM25|Minor restricted activity days", US_national_yearly!$D:$AM, 10, FALSE), 1)</f>
        <v>0.68282588606107975</v>
      </c>
      <c r="H14" s="7">
        <f>$B14 * IFERROR(VLOOKUP("industry|PM25|Minor restricted activity days", US_national_yearly!$D:$AM, 16, FALSE) / VLOOKUP("industry|PM25|Minor restricted activity days", US_national_yearly!$D:$AM, 10, FALSE), 1)</f>
        <v>0.68524819096477674</v>
      </c>
      <c r="I14" s="7">
        <f>$B14 * IFERROR(VLOOKUP("industry|PM25|Minor restricted activity days", US_national_yearly!$D:$AM, 17, FALSE) / VLOOKUP("industry|PM25|Minor restricted activity days", US_national_yearly!$D:$AM, 10, FALSE), 1)</f>
        <v>0.6893630641551669</v>
      </c>
      <c r="J14" s="7">
        <f>$B14 * IFERROR(VLOOKUP("industry|PM25|Minor restricted activity days", US_national_yearly!$D:$AM, 18, FALSE) / VLOOKUP("industry|PM25|Minor restricted activity days", US_national_yearly!$D:$AM, 10, FALSE), 1)</f>
        <v>0.69347793734555707</v>
      </c>
      <c r="K14" s="7">
        <f>$B14 * IFERROR(VLOOKUP("industry|PM25|Minor restricted activity days", US_national_yearly!$D:$AM, 19, FALSE) / VLOOKUP("industry|PM25|Minor restricted activity days", US_national_yearly!$D:$AM, 10, FALSE), 1)</f>
        <v>0.69759281053594713</v>
      </c>
      <c r="L14" s="7">
        <f>$B14 * IFERROR(VLOOKUP("industry|PM25|Minor restricted activity days", US_national_yearly!$D:$AM, 20, FALSE) / VLOOKUP("industry|PM25|Minor restricted activity days", US_national_yearly!$D:$AM, 10, FALSE), 1)</f>
        <v>0.70170768372633718</v>
      </c>
      <c r="M14" s="7">
        <f>$B14 * IFERROR(VLOOKUP("industry|PM25|Minor restricted activity days", US_national_yearly!$D:$AM, 21, FALSE) / VLOOKUP("industry|PM25|Minor restricted activity days", US_national_yearly!$D:$AM, 10, FALSE), 1)</f>
        <v>0.70582255691672724</v>
      </c>
      <c r="N14" s="7">
        <f>$B14 * IFERROR(VLOOKUP("industry|PM25|Minor restricted activity days", US_national_yearly!$D:$AM, 22, FALSE) / VLOOKUP("industry|PM25|Minor restricted activity days", US_national_yearly!$D:$AM, 10, FALSE), 1)</f>
        <v>0.71144388000120651</v>
      </c>
      <c r="O14" s="7">
        <f>$B14 * IFERROR(VLOOKUP("industry|PM25|Minor restricted activity days", US_national_yearly!$D:$AM, 23, FALSE) / VLOOKUP("industry|PM25|Minor restricted activity days", US_national_yearly!$D:$AM, 10, FALSE), 1)</f>
        <v>0.71706520308568633</v>
      </c>
      <c r="P14" s="7">
        <f>$B14 * IFERROR(VLOOKUP("industry|PM25|Minor restricted activity days", US_national_yearly!$D:$AM, 24, FALSE) / VLOOKUP("industry|PM25|Minor restricted activity days", US_national_yearly!$D:$AM, 10, FALSE), 1)</f>
        <v>0.7226865261701656</v>
      </c>
      <c r="Q14" s="7">
        <f>$B14 * IFERROR(VLOOKUP("industry|PM25|Minor restricted activity days", US_national_yearly!$D:$AM, 25, FALSE) / VLOOKUP("industry|PM25|Minor restricted activity days", US_national_yearly!$D:$AM, 10, FALSE), 1)</f>
        <v>0.72830784925464553</v>
      </c>
      <c r="R14" s="7">
        <f>$B14 * IFERROR(VLOOKUP("industry|PM25|Minor restricted activity days", US_national_yearly!$D:$AM, 26, FALSE) / VLOOKUP("industry|PM25|Minor restricted activity days", US_national_yearly!$D:$AM, 10, FALSE), 1)</f>
        <v>0.7339291723391248</v>
      </c>
      <c r="S14" s="7">
        <f>$B14 * IFERROR(VLOOKUP("industry|PM25|Minor restricted activity days", US_national_yearly!$D:$AM, 27, FALSE) / VLOOKUP("industry|PM25|Minor restricted activity days", US_national_yearly!$D:$AM, 10, FALSE), 1)</f>
        <v>0.73960446232369781</v>
      </c>
      <c r="T14" s="7">
        <f>$B14 * IFERROR(VLOOKUP("industry|PM25|Minor restricted activity days", US_national_yearly!$D:$AM, 28, FALSE) / VLOOKUP("industry|PM25|Minor restricted activity days", US_national_yearly!$D:$AM, 10, FALSE), 1)</f>
        <v>0.74527975230827093</v>
      </c>
      <c r="U14" s="7">
        <f>$B14 * IFERROR(VLOOKUP("industry|PM25|Minor restricted activity days", US_national_yearly!$D:$AM, 29, FALSE) / VLOOKUP("industry|PM25|Minor restricted activity days", US_national_yearly!$D:$AM, 10, FALSE), 1)</f>
        <v>0.75095504229284393</v>
      </c>
      <c r="V14" s="7">
        <f>$B14 * IFERROR(VLOOKUP("industry|PM25|Minor restricted activity days", US_national_yearly!$D:$AM, 30, FALSE) / VLOOKUP("industry|PM25|Minor restricted activity days", US_national_yearly!$D:$AM, 10, FALSE), 1)</f>
        <v>0.75663033227741694</v>
      </c>
      <c r="W14" s="7">
        <f>$B14 * IFERROR(VLOOKUP("industry|PM25|Minor restricted activity days", US_national_yearly!$D:$AM, 31, FALSE) / VLOOKUP("industry|PM25|Minor restricted activity days", US_national_yearly!$D:$AM, 10, FALSE), 1)</f>
        <v>0.76230562226199006</v>
      </c>
      <c r="X14" s="7">
        <f>$B14 * IFERROR(VLOOKUP("industry|PM25|Minor restricted activity days", US_national_yearly!$D:$AM, 32, FALSE) / VLOOKUP("industry|PM25|Minor restricted activity days", US_national_yearly!$D:$AM, 10, FALSE), 1)</f>
        <v>0.76723724141255678</v>
      </c>
      <c r="Y14" s="7">
        <f>$B14 * IFERROR(VLOOKUP("industry|PM25|Minor restricted activity days", US_national_yearly!$D:$AM, 33, FALSE) / VLOOKUP("industry|PM25|Minor restricted activity days", US_national_yearly!$D:$AM, 10, FALSE), 1)</f>
        <v>0.77216886056312362</v>
      </c>
      <c r="Z14" s="7">
        <f>$B14 * IFERROR(VLOOKUP("industry|PM25|Minor restricted activity days", US_national_yearly!$D:$AM, 34, FALSE) / VLOOKUP("industry|PM25|Minor restricted activity days", US_national_yearly!$D:$AM, 10, FALSE), 1)</f>
        <v>0.77710047971369056</v>
      </c>
      <c r="AA14" s="7">
        <f>$B14 * IFERROR(VLOOKUP("industry|PM25|Minor restricted activity days", US_national_yearly!$D:$AM, 35, FALSE) / VLOOKUP("industry|PM25|Minor restricted activity days", US_national_yearly!$D:$AM, 10, FALSE), 1)</f>
        <v>0.7820320988642574</v>
      </c>
      <c r="AB14" s="7">
        <f>$B14 * IFERROR(VLOOKUP("industry|PM25|Minor restricted activity days", US_national_yearly!$D:$AM, 36, FALSE) / VLOOKUP("industry|PM25|Minor restricted activity days", US_national_yearly!$D:$AM, 10, FALSE), 1)</f>
        <v>0.78696371801482423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0.11434529500989299</v>
      </c>
      <c r="C15" s="7">
        <f>$B15 * IFERROR(VLOOKUP("industry|PM25|Work loss days", US_national_yearly!$D:$AM, 11, FALSE) / VLOOKUP("industry|PM25|Work loss days", US_national_yearly!$D:$AM, 10, FALSE), 1)</f>
        <v>0.11469981133400423</v>
      </c>
      <c r="D15" s="7">
        <f>$B15 * IFERROR(VLOOKUP("industry|PM25|Work loss days", US_national_yearly!$D:$AM, 12, FALSE) / VLOOKUP("industry|PM25|Work loss days", US_national_yearly!$D:$AM, 10, FALSE), 1)</f>
        <v>0.11505432765811548</v>
      </c>
      <c r="E15" s="7">
        <f>$B15 * IFERROR(VLOOKUP("industry|PM25|Work loss days", US_national_yearly!$D:$AM, 13, FALSE) / VLOOKUP("industry|PM25|Work loss days", US_national_yearly!$D:$AM, 10, FALSE), 1)</f>
        <v>0.11540884398222669</v>
      </c>
      <c r="F15" s="7">
        <f>$B15 * IFERROR(VLOOKUP("industry|PM25|Work loss days", US_national_yearly!$D:$AM, 14, FALSE) / VLOOKUP("industry|PM25|Work loss days", US_national_yearly!$D:$AM, 10, FALSE), 1)</f>
        <v>0.11576336030633792</v>
      </c>
      <c r="G15" s="7">
        <f>$B15 * IFERROR(VLOOKUP("industry|PM25|Work loss days", US_national_yearly!$D:$AM, 15, FALSE) / VLOOKUP("industry|PM25|Work loss days", US_national_yearly!$D:$AM, 10, FALSE), 1)</f>
        <v>0.11622619688990633</v>
      </c>
      <c r="H15" s="7">
        <f>$B15 * IFERROR(VLOOKUP("industry|PM25|Work loss days", US_national_yearly!$D:$AM, 16, FALSE) / VLOOKUP("industry|PM25|Work loss days", US_national_yearly!$D:$AM, 10, FALSE), 1)</f>
        <v>0.11668903347347473</v>
      </c>
      <c r="I15" s="7">
        <f>$B15 * IFERROR(VLOOKUP("industry|PM25|Work loss days", US_national_yearly!$D:$AM, 17, FALSE) / VLOOKUP("industry|PM25|Work loss days", US_national_yearly!$D:$AM, 10, FALSE), 1)</f>
        <v>0.1173667735359567</v>
      </c>
      <c r="J15" s="7">
        <f>$B15 * IFERROR(VLOOKUP("industry|PM25|Work loss days", US_national_yearly!$D:$AM, 18, FALSE) / VLOOKUP("industry|PM25|Work loss days", US_national_yearly!$D:$AM, 10, FALSE), 1)</f>
        <v>0.11804451359843868</v>
      </c>
      <c r="K15" s="7">
        <f>$B15 * IFERROR(VLOOKUP("industry|PM25|Work loss days", US_national_yearly!$D:$AM, 19, FALSE) / VLOOKUP("industry|PM25|Work loss days", US_national_yearly!$D:$AM, 10, FALSE), 1)</f>
        <v>0.11872225366092062</v>
      </c>
      <c r="L15" s="7">
        <f>$B15 * IFERROR(VLOOKUP("industry|PM25|Work loss days", US_national_yearly!$D:$AM, 20, FALSE) / VLOOKUP("industry|PM25|Work loss days", US_national_yearly!$D:$AM, 10, FALSE), 1)</f>
        <v>0.11939999372340261</v>
      </c>
      <c r="M15" s="7">
        <f>$B15 * IFERROR(VLOOKUP("industry|PM25|Work loss days", US_national_yearly!$D:$AM, 21, FALSE) / VLOOKUP("industry|PM25|Work loss days", US_national_yearly!$D:$AM, 10, FALSE), 1)</f>
        <v>0.12007773378588459</v>
      </c>
      <c r="N15" s="7">
        <f>$B15 * IFERROR(VLOOKUP("industry|PM25|Work loss days", US_national_yearly!$D:$AM, 22, FALSE) / VLOOKUP("industry|PM25|Work loss days", US_national_yearly!$D:$AM, 10, FALSE), 1)</f>
        <v>0.12093295278600891</v>
      </c>
      <c r="O15" s="7">
        <f>$B15 * IFERROR(VLOOKUP("industry|PM25|Work loss days", US_national_yearly!$D:$AM, 23, FALSE) / VLOOKUP("industry|PM25|Work loss days", US_national_yearly!$D:$AM, 10, FALSE), 1)</f>
        <v>0.12178817178613323</v>
      </c>
      <c r="P15" s="7">
        <f>$B15 * IFERROR(VLOOKUP("industry|PM25|Work loss days", US_national_yearly!$D:$AM, 24, FALSE) / VLOOKUP("industry|PM25|Work loss days", US_national_yearly!$D:$AM, 10, FALSE), 1)</f>
        <v>0.12264339078625752</v>
      </c>
      <c r="Q15" s="7">
        <f>$B15 * IFERROR(VLOOKUP("industry|PM25|Work loss days", US_national_yearly!$D:$AM, 25, FALSE) / VLOOKUP("industry|PM25|Work loss days", US_national_yearly!$D:$AM, 10, FALSE), 1)</f>
        <v>0.12349860978638184</v>
      </c>
      <c r="R15" s="7">
        <f>$B15 * IFERROR(VLOOKUP("industry|PM25|Work loss days", US_national_yearly!$D:$AM, 26, FALSE) / VLOOKUP("industry|PM25|Work loss days", US_national_yearly!$D:$AM, 10, FALSE), 1)</f>
        <v>0.12435382878650614</v>
      </c>
      <c r="S15" s="7">
        <f>$B15 * IFERROR(VLOOKUP("industry|PM25|Work loss days", US_national_yearly!$D:$AM, 27, FALSE) / VLOOKUP("industry|PM25|Work loss days", US_national_yearly!$D:$AM, 10, FALSE), 1)</f>
        <v>0.12530214541455018</v>
      </c>
      <c r="T15" s="7">
        <f>$B15 * IFERROR(VLOOKUP("industry|PM25|Work loss days", US_national_yearly!$D:$AM, 28, FALSE) / VLOOKUP("industry|PM25|Work loss days", US_national_yearly!$D:$AM, 10, FALSE), 1)</f>
        <v>0.12625046204259419</v>
      </c>
      <c r="U15" s="7">
        <f>$B15 * IFERROR(VLOOKUP("industry|PM25|Work loss days", US_national_yearly!$D:$AM, 29, FALSE) / VLOOKUP("industry|PM25|Work loss days", US_national_yearly!$D:$AM, 10, FALSE), 1)</f>
        <v>0.1271987786706382</v>
      </c>
      <c r="V15" s="7">
        <f>$B15 * IFERROR(VLOOKUP("industry|PM25|Work loss days", US_national_yearly!$D:$AM, 30, FALSE) / VLOOKUP("industry|PM25|Work loss days", US_national_yearly!$D:$AM, 10, FALSE), 1)</f>
        <v>0.12814709529868221</v>
      </c>
      <c r="W15" s="7">
        <f>$B15 * IFERROR(VLOOKUP("industry|PM25|Work loss days", US_national_yearly!$D:$AM, 31, FALSE) / VLOOKUP("industry|PM25|Work loss days", US_national_yearly!$D:$AM, 10, FALSE), 1)</f>
        <v>0.12909541192672624</v>
      </c>
      <c r="X15" s="7">
        <f>$B15 * IFERROR(VLOOKUP("industry|PM25|Work loss days", US_national_yearly!$D:$AM, 32, FALSE) / VLOOKUP("industry|PM25|Work loss days", US_national_yearly!$D:$AM, 10, FALSE), 1)</f>
        <v>0.1299381159449334</v>
      </c>
      <c r="Y15" s="7">
        <f>$B15 * IFERROR(VLOOKUP("industry|PM25|Work loss days", US_national_yearly!$D:$AM, 33, FALSE) / VLOOKUP("industry|PM25|Work loss days", US_national_yearly!$D:$AM, 10, FALSE), 1)</f>
        <v>0.13078081996314056</v>
      </c>
      <c r="Z15" s="7">
        <f>$B15 * IFERROR(VLOOKUP("industry|PM25|Work loss days", US_national_yearly!$D:$AM, 34, FALSE) / VLOOKUP("industry|PM25|Work loss days", US_national_yearly!$D:$AM, 10, FALSE), 1)</f>
        <v>0.13162352398134775</v>
      </c>
      <c r="AA15" s="7">
        <f>$B15 * IFERROR(VLOOKUP("industry|PM25|Work loss days", US_national_yearly!$D:$AM, 35, FALSE) / VLOOKUP("industry|PM25|Work loss days", US_national_yearly!$D:$AM, 10, FALSE), 1)</f>
        <v>0.1324662279995549</v>
      </c>
      <c r="AB15" s="7">
        <f>$B15 * IFERROR(VLOOKUP("industry|PM25|Work loss days", US_national_yearly!$D:$AM, 36, FALSE) / VLOOKUP("industry|PM25|Work loss days", US_national_yearly!$D:$AM, 10, FALSE), 1)</f>
        <v>0.13330893201776206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1.869285893950012E-4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1.9251974334755814E-4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1.9811089730011511E-4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2.0370205125267205E-4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2.0929320520522897E-4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2.1465192326556865E-4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2.2001064132590834E-4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2.2461157038866129E-4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2.2921249945141419E-4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2.3381342851416719E-4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2.3841435757692014E-4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2.4301528663967309E-4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2.4608872459977471E-4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2.4916216255987619E-4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2.5223560051997778E-4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2.5530903848007932E-4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2.5838247644018085E-4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2.6002914996667151E-4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2.6167582349316217E-4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2.6332249701965283E-4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2.6496917054614344E-4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2.666158440726341E-4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2.6774660581851224E-4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2.6887736756439032E-4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2.7000812931026846E-4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2.7113889105614654E-4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2.7226965280202463E-4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3.7532281884812163E-5</v>
      </c>
      <c r="C2" s="7">
        <f>$B2 * IFERROR(VLOOKUP("industry|NOx|Premature mortality", US_national_yearly!$D:$AM, 11, FALSE) / VLOOKUP("industry|NOx|Premature mortality", US_national_yearly!$D:$AM, 10, FALSE), 1)</f>
        <v>3.8087261885626706E-5</v>
      </c>
      <c r="D2" s="7">
        <f>$B2 * IFERROR(VLOOKUP("industry|NOx|Premature mortality", US_national_yearly!$D:$AM, 12, FALSE) / VLOOKUP("industry|NOx|Premature mortality", US_national_yearly!$D:$AM, 10, FALSE), 1)</f>
        <v>3.8642241886441256E-5</v>
      </c>
      <c r="E2" s="7">
        <f>$B2 * IFERROR(VLOOKUP("industry|NOx|Premature mortality", US_national_yearly!$D:$AM, 13, FALSE) / VLOOKUP("industry|NOx|Premature mortality", US_national_yearly!$D:$AM, 10, FALSE), 1)</f>
        <v>3.9197221887255807E-5</v>
      </c>
      <c r="F2" s="7">
        <f>$B2 * IFERROR(VLOOKUP("industry|NOx|Premature mortality", US_national_yearly!$D:$AM, 14, FALSE) / VLOOKUP("industry|NOx|Premature mortality", US_national_yearly!$D:$AM, 10, FALSE), 1)</f>
        <v>3.9752201888070357E-5</v>
      </c>
      <c r="G2" s="7">
        <f>$B2 * IFERROR(VLOOKUP("industry|NOx|Premature mortality", US_national_yearly!$D:$AM, 15, FALSE) / VLOOKUP("industry|NOx|Premature mortality", US_national_yearly!$D:$AM, 10, FALSE), 1)</f>
        <v>4.0747488859823961E-5</v>
      </c>
      <c r="H2" s="7">
        <f>$B2 * IFERROR(VLOOKUP("industry|NOx|Premature mortality", US_national_yearly!$D:$AM, 16, FALSE) / VLOOKUP("industry|NOx|Premature mortality", US_national_yearly!$D:$AM, 10, FALSE), 1)</f>
        <v>4.1742775831577572E-5</v>
      </c>
      <c r="I2" s="7">
        <f>$B2 * IFERROR(VLOOKUP("industry|NOx|Premature mortality", US_national_yearly!$D:$AM, 17, FALSE) / VLOOKUP("industry|NOx|Premature mortality", US_national_yearly!$D:$AM, 10, FALSE), 1)</f>
        <v>4.2388451980045718E-5</v>
      </c>
      <c r="J2" s="7">
        <f>$B2 * IFERROR(VLOOKUP("industry|NOx|Premature mortality", US_national_yearly!$D:$AM, 18, FALSE) / VLOOKUP("industry|NOx|Premature mortality", US_national_yearly!$D:$AM, 10, FALSE), 1)</f>
        <v>4.303412812851387E-5</v>
      </c>
      <c r="K2" s="7">
        <f>$B2 * IFERROR(VLOOKUP("industry|NOx|Premature mortality", US_national_yearly!$D:$AM, 19, FALSE) / VLOOKUP("industry|NOx|Premature mortality", US_national_yearly!$D:$AM, 10, FALSE), 1)</f>
        <v>4.3679804276982023E-5</v>
      </c>
      <c r="L2" s="7">
        <f>$B2 * IFERROR(VLOOKUP("industry|NOx|Premature mortality", US_national_yearly!$D:$AM, 20, FALSE) / VLOOKUP("industry|NOx|Premature mortality", US_national_yearly!$D:$AM, 10, FALSE), 1)</f>
        <v>4.4325480425450175E-5</v>
      </c>
      <c r="M2" s="7">
        <f>$B2 * IFERROR(VLOOKUP("industry|NOx|Premature mortality", US_national_yearly!$D:$AM, 21, FALSE) / VLOOKUP("industry|NOx|Premature mortality", US_national_yearly!$D:$AM, 10, FALSE), 1)</f>
        <v>4.4971156573918321E-5</v>
      </c>
      <c r="N2" s="7">
        <f>$B2 * IFERROR(VLOOKUP("industry|NOx|Premature mortality", US_national_yearly!$D:$AM, 22, FALSE) / VLOOKUP("industry|NOx|Premature mortality", US_national_yearly!$D:$AM, 10, FALSE), 1)</f>
        <v>4.5451623882947835E-5</v>
      </c>
      <c r="O2" s="7">
        <f>$B2 * IFERROR(VLOOKUP("industry|NOx|Premature mortality", US_national_yearly!$D:$AM, 23, FALSE) / VLOOKUP("industry|NOx|Premature mortality", US_national_yearly!$D:$AM, 10, FALSE), 1)</f>
        <v>4.5932091191977343E-5</v>
      </c>
      <c r="P2" s="7">
        <f>$B2 * IFERROR(VLOOKUP("industry|NOx|Premature mortality", US_national_yearly!$D:$AM, 24, FALSE) / VLOOKUP("industry|NOx|Premature mortality", US_national_yearly!$D:$AM, 10, FALSE), 1)</f>
        <v>4.6412558501006844E-5</v>
      </c>
      <c r="Q2" s="7">
        <f>$B2 * IFERROR(VLOOKUP("industry|NOx|Premature mortality", US_national_yearly!$D:$AM, 25, FALSE) / VLOOKUP("industry|NOx|Premature mortality", US_national_yearly!$D:$AM, 10, FALSE), 1)</f>
        <v>4.6893025810036352E-5</v>
      </c>
      <c r="R2" s="7">
        <f>$B2 * IFERROR(VLOOKUP("industry|NOx|Premature mortality", US_national_yearly!$D:$AM, 26, FALSE) / VLOOKUP("industry|NOx|Premature mortality", US_national_yearly!$D:$AM, 10, FALSE), 1)</f>
        <v>4.737349311906586E-5</v>
      </c>
      <c r="S2" s="7">
        <f>$B2 * IFERROR(VLOOKUP("industry|NOx|Premature mortality", US_national_yearly!$D:$AM, 27, FALSE) / VLOOKUP("industry|NOx|Premature mortality", US_national_yearly!$D:$AM, 10, FALSE), 1)</f>
        <v>4.7597227706105719E-5</v>
      </c>
      <c r="T2" s="7">
        <f>$B2 * IFERROR(VLOOKUP("industry|NOx|Premature mortality", US_national_yearly!$D:$AM, 28, FALSE) / VLOOKUP("industry|NOx|Premature mortality", US_national_yearly!$D:$AM, 10, FALSE), 1)</f>
        <v>4.7820962293145578E-5</v>
      </c>
      <c r="U2" s="7">
        <f>$B2 * IFERROR(VLOOKUP("industry|NOx|Premature mortality", US_national_yearly!$D:$AM, 29, FALSE) / VLOOKUP("industry|NOx|Premature mortality", US_national_yearly!$D:$AM, 10, FALSE), 1)</f>
        <v>4.8044696880185444E-5</v>
      </c>
      <c r="V2" s="7">
        <f>$B2 * IFERROR(VLOOKUP("industry|NOx|Premature mortality", US_national_yearly!$D:$AM, 30, FALSE) / VLOOKUP("industry|NOx|Premature mortality", US_national_yearly!$D:$AM, 10, FALSE), 1)</f>
        <v>4.8268431467225303E-5</v>
      </c>
      <c r="W2" s="7">
        <f>$B2 * IFERROR(VLOOKUP("industry|NOx|Premature mortality", US_national_yearly!$D:$AM, 31, FALSE) / VLOOKUP("industry|NOx|Premature mortality", US_national_yearly!$D:$AM, 10, FALSE), 1)</f>
        <v>4.8492166054265156E-5</v>
      </c>
      <c r="X2" s="7">
        <f>$B2 * IFERROR(VLOOKUP("industry|NOx|Premature mortality", US_national_yearly!$D:$AM, 32, FALSE) / VLOOKUP("industry|NOx|Premature mortality", US_national_yearly!$D:$AM, 10, FALSE), 1)</f>
        <v>4.8509264566949382E-5</v>
      </c>
      <c r="Y2" s="7">
        <f>$B2 * IFERROR(VLOOKUP("industry|NOx|Premature mortality", US_national_yearly!$D:$AM, 33, FALSE) / VLOOKUP("industry|NOx|Premature mortality", US_national_yearly!$D:$AM, 10, FALSE), 1)</f>
        <v>4.8526363079633615E-5</v>
      </c>
      <c r="Z2" s="7">
        <f>$B2 * IFERROR(VLOOKUP("industry|NOx|Premature mortality", US_national_yearly!$D:$AM, 34, FALSE) / VLOOKUP("industry|NOx|Premature mortality", US_national_yearly!$D:$AM, 10, FALSE), 1)</f>
        <v>4.8543461592317841E-5</v>
      </c>
      <c r="AA2" s="7">
        <f>$B2 * IFERROR(VLOOKUP("industry|NOx|Premature mortality", US_national_yearly!$D:$AM, 35, FALSE) / VLOOKUP("industry|NOx|Premature mortality", US_national_yearly!$D:$AM, 10, FALSE), 1)</f>
        <v>4.8560560105002075E-5</v>
      </c>
      <c r="AB2" s="7">
        <f>$B2 * IFERROR(VLOOKUP("industry|NOx|Premature mortality", US_national_yearly!$D:$AM, 36, FALSE) / VLOOKUP("industry|NOx|Premature mortality", US_national_yearly!$D:$AM, 10, FALSE), 1)</f>
        <v>4.8577658617686301E-5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1.160757186214753E-7</v>
      </c>
      <c r="C3" s="7">
        <f>$B3 * IFERROR(VLOOKUP("industry|NOx|Infant mortality", US_national_yearly!$D:$AM, 11, FALSE) / VLOOKUP("industry|NOx|Infant mortality", US_national_yearly!$D:$AM, 10, FALSE), 1)</f>
        <v>1.1496408091645633E-7</v>
      </c>
      <c r="D3" s="7">
        <f>$B3 * IFERROR(VLOOKUP("industry|NOx|Infant mortality", US_national_yearly!$D:$AM, 12, FALSE) / VLOOKUP("industry|NOx|Infant mortality", US_national_yearly!$D:$AM, 10, FALSE), 1)</f>
        <v>1.1385244321143734E-7</v>
      </c>
      <c r="E3" s="7">
        <f>$B3 * IFERROR(VLOOKUP("industry|NOx|Infant mortality", US_national_yearly!$D:$AM, 13, FALSE) / VLOOKUP("industry|NOx|Infant mortality", US_national_yearly!$D:$AM, 10, FALSE), 1)</f>
        <v>1.1274080550641838E-7</v>
      </c>
      <c r="F3" s="7">
        <f>$B3 * IFERROR(VLOOKUP("industry|NOx|Infant mortality", US_national_yearly!$D:$AM, 14, FALSE) / VLOOKUP("industry|NOx|Infant mortality", US_national_yearly!$D:$AM, 10, FALSE), 1)</f>
        <v>1.116291678013994E-7</v>
      </c>
      <c r="G3" s="7">
        <f>$B3 * IFERROR(VLOOKUP("industry|NOx|Infant mortality", US_national_yearly!$D:$AM, 15, FALSE) / VLOOKUP("industry|NOx|Infant mortality", US_national_yearly!$D:$AM, 10, FALSE), 1)</f>
        <v>7.4042313752107466E-8</v>
      </c>
      <c r="H3" s="7">
        <f>$B3 * IFERROR(VLOOKUP("industry|NOx|Infant mortality", US_national_yearly!$D:$AM, 16, FALSE) / VLOOKUP("industry|NOx|Infant mortality", US_national_yearly!$D:$AM, 10, FALSE), 1)</f>
        <v>3.6455459702815538E-8</v>
      </c>
      <c r="I3" s="7">
        <f>$B3 * IFERROR(VLOOKUP("industry|NOx|Infant mortality", US_national_yearly!$D:$AM, 17, FALSE) / VLOOKUP("industry|NOx|Infant mortality", US_national_yearly!$D:$AM, 10, FALSE), 1)</f>
        <v>3.6192631578478402E-8</v>
      </c>
      <c r="J3" s="7">
        <f>$B3 * IFERROR(VLOOKUP("industry|NOx|Infant mortality", US_national_yearly!$D:$AM, 18, FALSE) / VLOOKUP("industry|NOx|Infant mortality", US_national_yearly!$D:$AM, 10, FALSE), 1)</f>
        <v>3.5929803454141266E-8</v>
      </c>
      <c r="K3" s="7">
        <f>$B3 * IFERROR(VLOOKUP("industry|NOx|Infant mortality", US_national_yearly!$D:$AM, 19, FALSE) / VLOOKUP("industry|NOx|Infant mortality", US_national_yearly!$D:$AM, 10, FALSE), 1)</f>
        <v>3.5666975329804123E-8</v>
      </c>
      <c r="L3" s="7">
        <f>$B3 * IFERROR(VLOOKUP("industry|NOx|Infant mortality", US_national_yearly!$D:$AM, 20, FALSE) / VLOOKUP("industry|NOx|Infant mortality", US_national_yearly!$D:$AM, 10, FALSE), 1)</f>
        <v>3.540414720546698E-8</v>
      </c>
      <c r="M3" s="7">
        <f>$B3 * IFERROR(VLOOKUP("industry|NOx|Infant mortality", US_national_yearly!$D:$AM, 21, FALSE) / VLOOKUP("industry|NOx|Infant mortality", US_national_yearly!$D:$AM, 10, FALSE), 1)</f>
        <v>3.5141319081129837E-8</v>
      </c>
      <c r="N3" s="7">
        <f>$B3 * IFERROR(VLOOKUP("industry|NOx|Infant mortality", US_national_yearly!$D:$AM, 22, FALSE) / VLOOKUP("industry|NOx|Infant mortality", US_national_yearly!$D:$AM, 10, FALSE), 1)</f>
        <v>3.4964237346329591E-8</v>
      </c>
      <c r="O3" s="7">
        <f>$B3 * IFERROR(VLOOKUP("industry|NOx|Infant mortality", US_national_yearly!$D:$AM, 23, FALSE) / VLOOKUP("industry|NOx|Infant mortality", US_national_yearly!$D:$AM, 10, FALSE), 1)</f>
        <v>3.4787155611529338E-8</v>
      </c>
      <c r="P3" s="7">
        <f>$B3 * IFERROR(VLOOKUP("industry|NOx|Infant mortality", US_national_yearly!$D:$AM, 24, FALSE) / VLOOKUP("industry|NOx|Infant mortality", US_national_yearly!$D:$AM, 10, FALSE), 1)</f>
        <v>3.4610073876729092E-8</v>
      </c>
      <c r="Q3" s="7">
        <f>$B3 * IFERROR(VLOOKUP("industry|NOx|Infant mortality", US_national_yearly!$D:$AM, 25, FALSE) / VLOOKUP("industry|NOx|Infant mortality", US_national_yearly!$D:$AM, 10, FALSE), 1)</f>
        <v>3.4432992141928839E-8</v>
      </c>
      <c r="R3" s="7">
        <f>$B3 * IFERROR(VLOOKUP("industry|NOx|Infant mortality", US_national_yearly!$D:$AM, 26, FALSE) / VLOOKUP("industry|NOx|Infant mortality", US_national_yearly!$D:$AM, 10, FALSE), 1)</f>
        <v>3.4255910407128593E-8</v>
      </c>
      <c r="S3" s="7">
        <f>$B3 * IFERROR(VLOOKUP("industry|NOx|Infant mortality", US_national_yearly!$D:$AM, 27, FALSE) / VLOOKUP("industry|NOx|Infant mortality", US_national_yearly!$D:$AM, 10, FALSE), 1)</f>
        <v>3.4045629012933945E-8</v>
      </c>
      <c r="T3" s="7">
        <f>$B3 * IFERROR(VLOOKUP("industry|NOx|Infant mortality", US_national_yearly!$D:$AM, 28, FALSE) / VLOOKUP("industry|NOx|Infant mortality", US_national_yearly!$D:$AM, 10, FALSE), 1)</f>
        <v>3.383534761873929E-8</v>
      </c>
      <c r="U3" s="7">
        <f>$B3 * IFERROR(VLOOKUP("industry|NOx|Infant mortality", US_national_yearly!$D:$AM, 29, FALSE) / VLOOKUP("industry|NOx|Infant mortality", US_national_yearly!$D:$AM, 10, FALSE), 1)</f>
        <v>3.3625066224544642E-8</v>
      </c>
      <c r="V3" s="7">
        <f>$B3 * IFERROR(VLOOKUP("industry|NOx|Infant mortality", US_national_yearly!$D:$AM, 30, FALSE) / VLOOKUP("industry|NOx|Infant mortality", US_national_yearly!$D:$AM, 10, FALSE), 1)</f>
        <v>3.3414784830349994E-8</v>
      </c>
      <c r="W3" s="7">
        <f>$B3 * IFERROR(VLOOKUP("industry|NOx|Infant mortality", US_national_yearly!$D:$AM, 31, FALSE) / VLOOKUP("industry|NOx|Infant mortality", US_national_yearly!$D:$AM, 10, FALSE), 1)</f>
        <v>3.3204503436155346E-8</v>
      </c>
      <c r="X3" s="7">
        <f>$B3 * IFERROR(VLOOKUP("industry|NOx|Infant mortality", US_national_yearly!$D:$AM, 32, FALSE) / VLOOKUP("industry|NOx|Infant mortality", US_national_yearly!$D:$AM, 10, FALSE), 1)</f>
        <v>3.2983684688197744E-8</v>
      </c>
      <c r="Y3" s="7">
        <f>$B3 * IFERROR(VLOOKUP("industry|NOx|Infant mortality", US_national_yearly!$D:$AM, 33, FALSE) / VLOOKUP("industry|NOx|Infant mortality", US_national_yearly!$D:$AM, 10, FALSE), 1)</f>
        <v>3.2762865940240142E-8</v>
      </c>
      <c r="Z3" s="7">
        <f>$B3 * IFERROR(VLOOKUP("industry|NOx|Infant mortality", US_national_yearly!$D:$AM, 34, FALSE) / VLOOKUP("industry|NOx|Infant mortality", US_national_yearly!$D:$AM, 10, FALSE), 1)</f>
        <v>3.2542047192282547E-8</v>
      </c>
      <c r="AA3" s="7">
        <f>$B3 * IFERROR(VLOOKUP("industry|NOx|Infant mortality", US_national_yearly!$D:$AM, 35, FALSE) / VLOOKUP("industry|NOx|Infant mortality", US_national_yearly!$D:$AM, 10, FALSE), 1)</f>
        <v>3.2321228444324945E-8</v>
      </c>
      <c r="AB3" s="7">
        <f>$B3 * IFERROR(VLOOKUP("industry|NOx|Infant mortality", US_national_yearly!$D:$AM, 36, FALSE) / VLOOKUP("industry|NOx|Infant mortality", US_national_yearly!$D:$AM, 10, FALSE), 1)</f>
        <v>3.2100409696367343E-8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1.0320920507639228E-4</v>
      </c>
      <c r="C6" s="7">
        <f>$B6 * IFERROR(VLOOKUP("industry|NOx|Asthma symptoms cough", US_national_yearly!$D:$AM, 11, FALSE) / VLOOKUP("industry|NOx|Asthma symptoms cough", US_national_yearly!$D:$AM, 10, FALSE), 1)</f>
        <v>1.0462114202258198E-4</v>
      </c>
      <c r="D6" s="7">
        <f>$B6 * IFERROR(VLOOKUP("industry|NOx|Asthma symptoms cough", US_national_yearly!$D:$AM, 12, FALSE) / VLOOKUP("industry|NOx|Asthma symptoms cough", US_national_yearly!$D:$AM, 10, FALSE), 1)</f>
        <v>1.0603307896877167E-4</v>
      </c>
      <c r="E6" s="7">
        <f>$B6 * IFERROR(VLOOKUP("industry|NOx|Asthma symptoms cough", US_national_yearly!$D:$AM, 13, FALSE) / VLOOKUP("industry|NOx|Asthma symptoms cough", US_national_yearly!$D:$AM, 10, FALSE), 1)</f>
        <v>1.0744501591496138E-4</v>
      </c>
      <c r="F6" s="7">
        <f>$B6 * IFERROR(VLOOKUP("industry|NOx|Asthma symptoms cough", US_national_yearly!$D:$AM, 14, FALSE) / VLOOKUP("industry|NOx|Asthma symptoms cough", US_national_yearly!$D:$AM, 10, FALSE), 1)</f>
        <v>1.0885695286115107E-4</v>
      </c>
      <c r="G6" s="7">
        <f>$B6 * IFERROR(VLOOKUP("industry|NOx|Asthma symptoms cough", US_national_yearly!$D:$AM, 15, FALSE) / VLOOKUP("industry|NOx|Asthma symptoms cough", US_national_yearly!$D:$AM, 10, FALSE), 1)</f>
        <v>1.0998910724769978E-4</v>
      </c>
      <c r="H6" s="7">
        <f>$B6 * IFERROR(VLOOKUP("industry|NOx|Asthma symptoms cough", US_national_yearly!$D:$AM, 16, FALSE) / VLOOKUP("industry|NOx|Asthma symptoms cough", US_national_yearly!$D:$AM, 10, FALSE), 1)</f>
        <v>1.1112126163424851E-4</v>
      </c>
      <c r="I6" s="7">
        <f>$B6 * IFERROR(VLOOKUP("industry|NOx|Asthma symptoms cough", US_national_yearly!$D:$AM, 17, FALSE) / VLOOKUP("industry|NOx|Asthma symptoms cough", US_national_yearly!$D:$AM, 10, FALSE), 1)</f>
        <v>1.1151526139739183E-4</v>
      </c>
      <c r="J6" s="7">
        <f>$B6 * IFERROR(VLOOKUP("industry|NOx|Asthma symptoms cough", US_national_yearly!$D:$AM, 18, FALSE) / VLOOKUP("industry|NOx|Asthma symptoms cough", US_national_yearly!$D:$AM, 10, FALSE), 1)</f>
        <v>1.1190926116053518E-4</v>
      </c>
      <c r="K6" s="7">
        <f>$B6 * IFERROR(VLOOKUP("industry|NOx|Asthma symptoms cough", US_national_yearly!$D:$AM, 19, FALSE) / VLOOKUP("industry|NOx|Asthma symptoms cough", US_national_yearly!$D:$AM, 10, FALSE), 1)</f>
        <v>1.1230326092367848E-4</v>
      </c>
      <c r="L6" s="7">
        <f>$B6 * IFERROR(VLOOKUP("industry|NOx|Asthma symptoms cough", US_national_yearly!$D:$AM, 20, FALSE) / VLOOKUP("industry|NOx|Asthma symptoms cough", US_national_yearly!$D:$AM, 10, FALSE), 1)</f>
        <v>1.1269726068682183E-4</v>
      </c>
      <c r="M6" s="7">
        <f>$B6 * IFERROR(VLOOKUP("industry|NOx|Asthma symptoms cough", US_national_yearly!$D:$AM, 21, FALSE) / VLOOKUP("industry|NOx|Asthma symptoms cough", US_national_yearly!$D:$AM, 10, FALSE), 1)</f>
        <v>1.1309126044996516E-4</v>
      </c>
      <c r="N6" s="7">
        <f>$B6 * IFERROR(VLOOKUP("industry|NOx|Asthma symptoms cough", US_national_yearly!$D:$AM, 22, FALSE) / VLOOKUP("industry|NOx|Asthma symptoms cough", US_national_yearly!$D:$AM, 10, FALSE), 1)</f>
        <v>1.135410219352639E-4</v>
      </c>
      <c r="O6" s="7">
        <f>$B6 * IFERROR(VLOOKUP("industry|NOx|Asthma symptoms cough", US_national_yearly!$D:$AM, 23, FALSE) / VLOOKUP("industry|NOx|Asthma symptoms cough", US_national_yearly!$D:$AM, 10, FALSE), 1)</f>
        <v>1.1399078342056261E-4</v>
      </c>
      <c r="P6" s="7">
        <f>$B6 * IFERROR(VLOOKUP("industry|NOx|Asthma symptoms cough", US_national_yearly!$D:$AM, 24, FALSE) / VLOOKUP("industry|NOx|Asthma symptoms cough", US_national_yearly!$D:$AM, 10, FALSE), 1)</f>
        <v>1.1444054490586134E-4</v>
      </c>
      <c r="Q6" s="7">
        <f>$B6 * IFERROR(VLOOKUP("industry|NOx|Asthma symptoms cough", US_national_yearly!$D:$AM, 25, FALSE) / VLOOKUP("industry|NOx|Asthma symptoms cough", US_national_yearly!$D:$AM, 10, FALSE), 1)</f>
        <v>1.1489030639116008E-4</v>
      </c>
      <c r="R6" s="7">
        <f>$B6 * IFERROR(VLOOKUP("industry|NOx|Asthma symptoms cough", US_national_yearly!$D:$AM, 26, FALSE) / VLOOKUP("industry|NOx|Asthma symptoms cough", US_national_yearly!$D:$AM, 10, FALSE), 1)</f>
        <v>1.1534006787645881E-4</v>
      </c>
      <c r="S6" s="7">
        <f>$B6 * IFERROR(VLOOKUP("industry|NOx|Asthma symptoms cough", US_national_yearly!$D:$AM, 27, FALSE) / VLOOKUP("industry|NOx|Asthma symptoms cough", US_national_yearly!$D:$AM, 10, FALSE), 1)</f>
        <v>1.1592024029234321E-4</v>
      </c>
      <c r="T6" s="7">
        <f>$B6 * IFERROR(VLOOKUP("industry|NOx|Asthma symptoms cough", US_national_yearly!$D:$AM, 28, FALSE) / VLOOKUP("industry|NOx|Asthma symptoms cough", US_national_yearly!$D:$AM, 10, FALSE), 1)</f>
        <v>1.165004127082276E-4</v>
      </c>
      <c r="U6" s="7">
        <f>$B6 * IFERROR(VLOOKUP("industry|NOx|Asthma symptoms cough", US_national_yearly!$D:$AM, 29, FALSE) / VLOOKUP("industry|NOx|Asthma symptoms cough", US_national_yearly!$D:$AM, 10, FALSE), 1)</f>
        <v>1.17080585124112E-4</v>
      </c>
      <c r="V6" s="7">
        <f>$B6 * IFERROR(VLOOKUP("industry|NOx|Asthma symptoms cough", US_national_yearly!$D:$AM, 30, FALSE) / VLOOKUP("industry|NOx|Asthma symptoms cough", US_national_yearly!$D:$AM, 10, FALSE), 1)</f>
        <v>1.1766075753999638E-4</v>
      </c>
      <c r="W6" s="7">
        <f>$B6 * IFERROR(VLOOKUP("industry|NOx|Asthma symptoms cough", US_national_yearly!$D:$AM, 31, FALSE) / VLOOKUP("industry|NOx|Asthma symptoms cough", US_national_yearly!$D:$AM, 10, FALSE), 1)</f>
        <v>1.1824092995588081E-4</v>
      </c>
      <c r="X6" s="7">
        <f>$B6 * IFERROR(VLOOKUP("industry|NOx|Asthma symptoms cough", US_national_yearly!$D:$AM, 32, FALSE) / VLOOKUP("industry|NOx|Asthma symptoms cough", US_national_yearly!$D:$AM, 10, FALSE), 1)</f>
        <v>1.1877879439986233E-4</v>
      </c>
      <c r="Y6" s="7">
        <f>$B6 * IFERROR(VLOOKUP("industry|NOx|Asthma symptoms cough", US_national_yearly!$D:$AM, 33, FALSE) / VLOOKUP("industry|NOx|Asthma symptoms cough", US_national_yearly!$D:$AM, 10, FALSE), 1)</f>
        <v>1.1931665884384383E-4</v>
      </c>
      <c r="Z6" s="7">
        <f>$B6 * IFERROR(VLOOKUP("industry|NOx|Asthma symptoms cough", US_national_yearly!$D:$AM, 34, FALSE) / VLOOKUP("industry|NOx|Asthma symptoms cough", US_national_yearly!$D:$AM, 10, FALSE), 1)</f>
        <v>1.1985452328782534E-4</v>
      </c>
      <c r="AA6" s="7">
        <f>$B6 * IFERROR(VLOOKUP("industry|NOx|Asthma symptoms cough", US_national_yearly!$D:$AM, 35, FALSE) / VLOOKUP("industry|NOx|Asthma symptoms cough", US_national_yearly!$D:$AM, 10, FALSE), 1)</f>
        <v>1.2039238773180685E-4</v>
      </c>
      <c r="AB6" s="7">
        <f>$B6 * IFERROR(VLOOKUP("industry|NOx|Asthma symptoms cough", US_national_yearly!$D:$AM, 36, FALSE) / VLOOKUP("industry|NOx|Asthma symptoms cough", US_national_yearly!$D:$AM, 10, FALSE), 1)</f>
        <v>1.2093025217578836E-4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1.3898625229312911E-4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1.4088763138101048E-4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1.4278901046889183E-4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1.446903895567732E-4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1.465917686446546E-4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1.4811637969562688E-4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1.4964099074659919E-4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1.5017156890308983E-4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1.5070214705958048E-4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1.5123272521607109E-4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1.5176330337256179E-4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1.5229388152905243E-4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1.5289955098044805E-4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1.5350522043184364E-4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1.5411088988323928E-4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1.5471655933463492E-4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1.5532222878603054E-4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1.5610351558310027E-4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1.5688480238017002E-4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1.5766608917723975E-4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1.5844737597430953E-4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1.5922866277137923E-4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1.5995297571127107E-4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1.6067728865116289E-4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1.614016015910547E-4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1.6212591453094652E-4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1.6285022747083834E-4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2.1234714196541571E-4</v>
      </c>
      <c r="C8" s="7">
        <f>$B8 * IFERROR(VLOOKUP("industry|NOx|Asthma symptoms wheeze", US_national_yearly!$D:$AM, 11, FALSE) / VLOOKUP("industry|NOx|Asthma symptoms wheeze", US_national_yearly!$D:$AM, 10, FALSE), 1)</f>
        <v>2.1525212292267785E-4</v>
      </c>
      <c r="D8" s="7">
        <f>$B8 * IFERROR(VLOOKUP("industry|NOx|Asthma symptoms wheeze", US_national_yearly!$D:$AM, 12, FALSE) / VLOOKUP("industry|NOx|Asthma symptoms wheeze", US_national_yearly!$D:$AM, 10, FALSE), 1)</f>
        <v>2.1815710387994001E-4</v>
      </c>
      <c r="E8" s="7">
        <f>$B8 * IFERROR(VLOOKUP("industry|NOx|Asthma symptoms wheeze", US_national_yearly!$D:$AM, 13, FALSE) / VLOOKUP("industry|NOx|Asthma symptoms wheeze", US_national_yearly!$D:$AM, 10, FALSE), 1)</f>
        <v>2.2106208483720216E-4</v>
      </c>
      <c r="F8" s="7">
        <f>$B8 * IFERROR(VLOOKUP("industry|NOx|Asthma symptoms wheeze", US_national_yearly!$D:$AM, 14, FALSE) / VLOOKUP("industry|NOx|Asthma symptoms wheeze", US_national_yearly!$D:$AM, 10, FALSE), 1)</f>
        <v>2.2396706579446427E-4</v>
      </c>
      <c r="G8" s="7">
        <f>$B8 * IFERROR(VLOOKUP("industry|NOx|Asthma symptoms wheeze", US_national_yearly!$D:$AM, 15, FALSE) / VLOOKUP("industry|NOx|Asthma symptoms wheeze", US_national_yearly!$D:$AM, 10, FALSE), 1)</f>
        <v>2.2629640985144441E-4</v>
      </c>
      <c r="H8" s="7">
        <f>$B8 * IFERROR(VLOOKUP("industry|NOx|Asthma symptoms wheeze", US_national_yearly!$D:$AM, 16, FALSE) / VLOOKUP("industry|NOx|Asthma symptoms wheeze", US_national_yearly!$D:$AM, 10, FALSE), 1)</f>
        <v>2.2862575390842447E-4</v>
      </c>
      <c r="I8" s="7">
        <f>$B8 * IFERROR(VLOOKUP("industry|NOx|Asthma symptoms wheeze", US_national_yearly!$D:$AM, 17, FALSE) / VLOOKUP("industry|NOx|Asthma symptoms wheeze", US_national_yearly!$D:$AM, 10, FALSE), 1)</f>
        <v>2.2943638629072599E-4</v>
      </c>
      <c r="J8" s="7">
        <f>$B8 * IFERROR(VLOOKUP("industry|NOx|Asthma symptoms wheeze", US_national_yearly!$D:$AM, 18, FALSE) / VLOOKUP("industry|NOx|Asthma symptoms wheeze", US_national_yearly!$D:$AM, 10, FALSE), 1)</f>
        <v>2.3024701867302745E-4</v>
      </c>
      <c r="K8" s="7">
        <f>$B8 * IFERROR(VLOOKUP("industry|NOx|Asthma symptoms wheeze", US_national_yearly!$D:$AM, 19, FALSE) / VLOOKUP("industry|NOx|Asthma symptoms wheeze", US_national_yearly!$D:$AM, 10, FALSE), 1)</f>
        <v>2.3105765105532893E-4</v>
      </c>
      <c r="L8" s="7">
        <f>$B8 * IFERROR(VLOOKUP("industry|NOx|Asthma symptoms wheeze", US_national_yearly!$D:$AM, 20, FALSE) / VLOOKUP("industry|NOx|Asthma symptoms wheeze", US_national_yearly!$D:$AM, 10, FALSE), 1)</f>
        <v>2.3186828343763034E-4</v>
      </c>
      <c r="M8" s="7">
        <f>$B8 * IFERROR(VLOOKUP("industry|NOx|Asthma symptoms wheeze", US_national_yearly!$D:$AM, 21, FALSE) / VLOOKUP("industry|NOx|Asthma symptoms wheeze", US_national_yearly!$D:$AM, 10, FALSE), 1)</f>
        <v>2.3267891581993185E-4</v>
      </c>
      <c r="N8" s="7">
        <f>$B8 * IFERROR(VLOOKUP("industry|NOx|Asthma symptoms wheeze", US_national_yearly!$D:$AM, 22, FALSE) / VLOOKUP("industry|NOx|Asthma symptoms wheeze", US_national_yearly!$D:$AM, 10, FALSE), 1)</f>
        <v>2.3360427481332395E-4</v>
      </c>
      <c r="O8" s="7">
        <f>$B8 * IFERROR(VLOOKUP("industry|NOx|Asthma symptoms wheeze", US_national_yearly!$D:$AM, 23, FALSE) / VLOOKUP("industry|NOx|Asthma symptoms wheeze", US_national_yearly!$D:$AM, 10, FALSE), 1)</f>
        <v>2.3452963380671607E-4</v>
      </c>
      <c r="P8" s="7">
        <f>$B8 * IFERROR(VLOOKUP("industry|NOx|Asthma symptoms wheeze", US_national_yearly!$D:$AM, 24, FALSE) / VLOOKUP("industry|NOx|Asthma symptoms wheeze", US_national_yearly!$D:$AM, 10, FALSE), 1)</f>
        <v>2.3545499280010814E-4</v>
      </c>
      <c r="Q8" s="7">
        <f>$B8 * IFERROR(VLOOKUP("industry|NOx|Asthma symptoms wheeze", US_national_yearly!$D:$AM, 25, FALSE) / VLOOKUP("industry|NOx|Asthma symptoms wheeze", US_national_yearly!$D:$AM, 10, FALSE), 1)</f>
        <v>2.3638035179350024E-4</v>
      </c>
      <c r="R8" s="7">
        <f>$B8 * IFERROR(VLOOKUP("industry|NOx|Asthma symptoms wheeze", US_national_yearly!$D:$AM, 26, FALSE) / VLOOKUP("industry|NOx|Asthma symptoms wheeze", US_national_yearly!$D:$AM, 10, FALSE), 1)</f>
        <v>2.3730571078689236E-4</v>
      </c>
      <c r="S8" s="7">
        <f>$B8 * IFERROR(VLOOKUP("industry|NOx|Asthma symptoms wheeze", US_national_yearly!$D:$AM, 27, FALSE) / VLOOKUP("industry|NOx|Asthma symptoms wheeze", US_national_yearly!$D:$AM, 10, FALSE), 1)</f>
        <v>2.3849938294452671E-4</v>
      </c>
      <c r="T8" s="7">
        <f>$B8 * IFERROR(VLOOKUP("industry|NOx|Asthma symptoms wheeze", US_national_yearly!$D:$AM, 28, FALSE) / VLOOKUP("industry|NOx|Asthma symptoms wheeze", US_national_yearly!$D:$AM, 10, FALSE), 1)</f>
        <v>2.3969305510216103E-4</v>
      </c>
      <c r="U8" s="7">
        <f>$B8 * IFERROR(VLOOKUP("industry|NOx|Asthma symptoms wheeze", US_national_yearly!$D:$AM, 29, FALSE) / VLOOKUP("industry|NOx|Asthma symptoms wheeze", US_national_yearly!$D:$AM, 10, FALSE), 1)</f>
        <v>2.4088672725979535E-4</v>
      </c>
      <c r="V8" s="7">
        <f>$B8 * IFERROR(VLOOKUP("industry|NOx|Asthma symptoms wheeze", US_national_yearly!$D:$AM, 30, FALSE) / VLOOKUP("industry|NOx|Asthma symptoms wheeze", US_national_yearly!$D:$AM, 10, FALSE), 1)</f>
        <v>2.4208039941742967E-4</v>
      </c>
      <c r="W8" s="7">
        <f>$B8 * IFERROR(VLOOKUP("industry|NOx|Asthma symptoms wheeze", US_national_yearly!$D:$AM, 31, FALSE) / VLOOKUP("industry|NOx|Asthma symptoms wheeze", US_national_yearly!$D:$AM, 10, FALSE), 1)</f>
        <v>2.4327407157506399E-4</v>
      </c>
      <c r="X8" s="7">
        <f>$B8 * IFERROR(VLOOKUP("industry|NOx|Asthma symptoms wheeze", US_national_yearly!$D:$AM, 32, FALSE) / VLOOKUP("industry|NOx|Asthma symptoms wheeze", US_national_yearly!$D:$AM, 10, FALSE), 1)</f>
        <v>2.4438069745691269E-4</v>
      </c>
      <c r="Y8" s="7">
        <f>$B8 * IFERROR(VLOOKUP("industry|NOx|Asthma symptoms wheeze", US_national_yearly!$D:$AM, 33, FALSE) / VLOOKUP("industry|NOx|Asthma symptoms wheeze", US_national_yearly!$D:$AM, 10, FALSE), 1)</f>
        <v>2.4548732333876127E-4</v>
      </c>
      <c r="Z8" s="7">
        <f>$B8 * IFERROR(VLOOKUP("industry|NOx|Asthma symptoms wheeze", US_national_yearly!$D:$AM, 34, FALSE) / VLOOKUP("industry|NOx|Asthma symptoms wheeze", US_national_yearly!$D:$AM, 10, FALSE), 1)</f>
        <v>2.4659394922060986E-4</v>
      </c>
      <c r="AA8" s="7">
        <f>$B8 * IFERROR(VLOOKUP("industry|NOx|Asthma symptoms wheeze", US_national_yearly!$D:$AM, 35, FALSE) / VLOOKUP("industry|NOx|Asthma symptoms wheeze", US_national_yearly!$D:$AM, 10, FALSE), 1)</f>
        <v>2.4770057510245844E-4</v>
      </c>
      <c r="AB8" s="7">
        <f>$B8 * IFERROR(VLOOKUP("industry|NOx|Asthma symptoms wheeze", US_national_yearly!$D:$AM, 36, FALSE) / VLOOKUP("industry|NOx|Asthma symptoms wheeze", US_national_yearly!$D:$AM, 10, FALSE), 1)</f>
        <v>2.4880720098430725E-4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3.6242008236687601E-6</v>
      </c>
      <c r="C12" s="7">
        <f>$B12 * IFERROR(VLOOKUP("industry|NOx|Respiratory hospital admissions", US_national_yearly!$D:$AM, 11, FALSE) / VLOOKUP("industry|NOx|Respiratory hospital admissions", US_national_yearly!$D:$AM, 10, FALSE), 1)</f>
        <v>3.7152527553868409E-6</v>
      </c>
      <c r="D12" s="7">
        <f>$B12 * IFERROR(VLOOKUP("industry|NOx|Respiratory hospital admissions", US_national_yearly!$D:$AM, 12, FALSE) / VLOOKUP("industry|NOx|Respiratory hospital admissions", US_national_yearly!$D:$AM, 10, FALSE), 1)</f>
        <v>3.8063046871049216E-6</v>
      </c>
      <c r="E12" s="7">
        <f>$B12 * IFERROR(VLOOKUP("industry|NOx|Respiratory hospital admissions", US_national_yearly!$D:$AM, 13, FALSE) / VLOOKUP("industry|NOx|Respiratory hospital admissions", US_national_yearly!$D:$AM, 10, FALSE), 1)</f>
        <v>3.8973566188230027E-6</v>
      </c>
      <c r="F12" s="7">
        <f>$B12 * IFERROR(VLOOKUP("industry|NOx|Respiratory hospital admissions", US_national_yearly!$D:$AM, 14, FALSE) / VLOOKUP("industry|NOx|Respiratory hospital admissions", US_national_yearly!$D:$AM, 10, FALSE), 1)</f>
        <v>3.9884085505410826E-6</v>
      </c>
      <c r="G12" s="7">
        <f>$B12 * IFERROR(VLOOKUP("industry|NOx|Respiratory hospital admissions", US_national_yearly!$D:$AM, 15, FALSE) / VLOOKUP("industry|NOx|Respiratory hospital admissions", US_national_yearly!$D:$AM, 10, FALSE), 1)</f>
        <v>4.0755037720580708E-6</v>
      </c>
      <c r="H12" s="7">
        <f>$B12 * IFERROR(VLOOKUP("industry|NOx|Respiratory hospital admissions", US_national_yearly!$D:$AM, 16, FALSE) / VLOOKUP("industry|NOx|Respiratory hospital admissions", US_national_yearly!$D:$AM, 10, FALSE), 1)</f>
        <v>4.1625989935750589E-6</v>
      </c>
      <c r="I12" s="7">
        <f>$B12 * IFERROR(VLOOKUP("industry|NOx|Respiratory hospital admissions", US_national_yearly!$D:$AM, 17, FALSE) / VLOOKUP("industry|NOx|Respiratory hospital admissions", US_national_yearly!$D:$AM, 10, FALSE), 1)</f>
        <v>4.2367724015414946E-6</v>
      </c>
      <c r="J12" s="7">
        <f>$B12 * IFERROR(VLOOKUP("industry|NOx|Respiratory hospital admissions", US_national_yearly!$D:$AM, 18, FALSE) / VLOOKUP("industry|NOx|Respiratory hospital admissions", US_national_yearly!$D:$AM, 10, FALSE), 1)</f>
        <v>4.3109458095079302E-6</v>
      </c>
      <c r="K12" s="7">
        <f>$B12 * IFERROR(VLOOKUP("industry|NOx|Respiratory hospital admissions", US_national_yearly!$D:$AM, 19, FALSE) / VLOOKUP("industry|NOx|Respiratory hospital admissions", US_national_yearly!$D:$AM, 10, FALSE), 1)</f>
        <v>4.3851192174743667E-6</v>
      </c>
      <c r="L12" s="7">
        <f>$B12 * IFERROR(VLOOKUP("industry|NOx|Respiratory hospital admissions", US_national_yearly!$D:$AM, 20, FALSE) / VLOOKUP("industry|NOx|Respiratory hospital admissions", US_national_yearly!$D:$AM, 10, FALSE), 1)</f>
        <v>4.4592926254408024E-6</v>
      </c>
      <c r="M12" s="7">
        <f>$B12 * IFERROR(VLOOKUP("industry|NOx|Respiratory hospital admissions", US_national_yearly!$D:$AM, 21, FALSE) / VLOOKUP("industry|NOx|Respiratory hospital admissions", US_national_yearly!$D:$AM, 10, FALSE), 1)</f>
        <v>4.533466033407238E-6</v>
      </c>
      <c r="N12" s="7">
        <f>$B12 * IFERROR(VLOOKUP("industry|NOx|Respiratory hospital admissions", US_national_yearly!$D:$AM, 22, FALSE) / VLOOKUP("industry|NOx|Respiratory hospital admissions", US_national_yearly!$D:$AM, 10, FALSE), 1)</f>
        <v>4.5831783115449694E-6</v>
      </c>
      <c r="O12" s="7">
        <f>$B12 * IFERROR(VLOOKUP("industry|NOx|Respiratory hospital admissions", US_national_yearly!$D:$AM, 23, FALSE) / VLOOKUP("industry|NOx|Respiratory hospital admissions", US_national_yearly!$D:$AM, 10, FALSE), 1)</f>
        <v>4.6328905896826999E-6</v>
      </c>
      <c r="P12" s="7">
        <f>$B12 * IFERROR(VLOOKUP("industry|NOx|Respiratory hospital admissions", US_national_yearly!$D:$AM, 24, FALSE) / VLOOKUP("industry|NOx|Respiratory hospital admissions", US_national_yearly!$D:$AM, 10, FALSE), 1)</f>
        <v>4.6826028678204312E-6</v>
      </c>
      <c r="Q12" s="7">
        <f>$B12 * IFERROR(VLOOKUP("industry|NOx|Respiratory hospital admissions", US_national_yearly!$D:$AM, 25, FALSE) / VLOOKUP("industry|NOx|Respiratory hospital admissions", US_national_yearly!$D:$AM, 10, FALSE), 1)</f>
        <v>4.7323151459581617E-6</v>
      </c>
      <c r="R12" s="7">
        <f>$B12 * IFERROR(VLOOKUP("industry|NOx|Respiratory hospital admissions", US_national_yearly!$D:$AM, 26, FALSE) / VLOOKUP("industry|NOx|Respiratory hospital admissions", US_national_yearly!$D:$AM, 10, FALSE), 1)</f>
        <v>4.7820274240958931E-6</v>
      </c>
      <c r="S12" s="7">
        <f>$B12 * IFERROR(VLOOKUP("industry|NOx|Respiratory hospital admissions", US_national_yearly!$D:$AM, 27, FALSE) / VLOOKUP("industry|NOx|Respiratory hospital admissions", US_national_yearly!$D:$AM, 10, FALSE), 1)</f>
        <v>4.809016871768208E-6</v>
      </c>
      <c r="T12" s="7">
        <f>$B12 * IFERROR(VLOOKUP("industry|NOx|Respiratory hospital admissions", US_national_yearly!$D:$AM, 28, FALSE) / VLOOKUP("industry|NOx|Respiratory hospital admissions", US_national_yearly!$D:$AM, 10, FALSE), 1)</f>
        <v>4.8360063194405229E-6</v>
      </c>
      <c r="U12" s="7">
        <f>$B12 * IFERROR(VLOOKUP("industry|NOx|Respiratory hospital admissions", US_national_yearly!$D:$AM, 29, FALSE) / VLOOKUP("industry|NOx|Respiratory hospital admissions", US_national_yearly!$D:$AM, 10, FALSE), 1)</f>
        <v>4.8629957671128378E-6</v>
      </c>
      <c r="V12" s="7">
        <f>$B12 * IFERROR(VLOOKUP("industry|NOx|Respiratory hospital admissions", US_national_yearly!$D:$AM, 30, FALSE) / VLOOKUP("industry|NOx|Respiratory hospital admissions", US_national_yearly!$D:$AM, 10, FALSE), 1)</f>
        <v>4.8899852147851518E-6</v>
      </c>
      <c r="W12" s="7">
        <f>$B12 * IFERROR(VLOOKUP("industry|NOx|Respiratory hospital admissions", US_national_yearly!$D:$AM, 31, FALSE) / VLOOKUP("industry|NOx|Respiratory hospital admissions", US_national_yearly!$D:$AM, 10, FALSE), 1)</f>
        <v>4.9169746624574676E-6</v>
      </c>
      <c r="X12" s="7">
        <f>$B12 * IFERROR(VLOOKUP("industry|NOx|Respiratory hospital admissions", US_national_yearly!$D:$AM, 32, FALSE) / VLOOKUP("industry|NOx|Respiratory hospital admissions", US_national_yearly!$D:$AM, 10, FALSE), 1)</f>
        <v>4.9357933679564141E-6</v>
      </c>
      <c r="Y12" s="7">
        <f>$B12 * IFERROR(VLOOKUP("industry|NOx|Respiratory hospital admissions", US_national_yearly!$D:$AM, 33, FALSE) / VLOOKUP("industry|NOx|Respiratory hospital admissions", US_national_yearly!$D:$AM, 10, FALSE), 1)</f>
        <v>4.9546120734553607E-6</v>
      </c>
      <c r="Z12" s="7">
        <f>$B12 * IFERROR(VLOOKUP("industry|NOx|Respiratory hospital admissions", US_national_yearly!$D:$AM, 34, FALSE) / VLOOKUP("industry|NOx|Respiratory hospital admissions", US_national_yearly!$D:$AM, 10, FALSE), 1)</f>
        <v>4.9734307789543081E-6</v>
      </c>
      <c r="AA12" s="7">
        <f>$B12 * IFERROR(VLOOKUP("industry|NOx|Respiratory hospital admissions", US_national_yearly!$D:$AM, 35, FALSE) / VLOOKUP("industry|NOx|Respiratory hospital admissions", US_national_yearly!$D:$AM, 10, FALSE), 1)</f>
        <v>4.9922494844532547E-6</v>
      </c>
      <c r="AB12" s="7">
        <f>$B12 * IFERROR(VLOOKUP("industry|NOx|Respiratory hospital admissions", US_national_yearly!$D:$AM, 36, FALSE) / VLOOKUP("industry|NOx|Respiratory hospital admissions", US_national_yearly!$D:$AM, 10, FALSE), 1)</f>
        <v>5.0110681899522013E-6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1.6789772139651647E-5</v>
      </c>
      <c r="C13" s="7">
        <f>$B13 * IFERROR(VLOOKUP("industry|NOx|Non-fatal heart attacks", US_national_yearly!$D:$AM, 11, FALSE) / VLOOKUP("industry|NOx|Non-fatal heart attacks", US_national_yearly!$D:$AM, 10, FALSE), 1)</f>
        <v>1.7269472018985205E-5</v>
      </c>
      <c r="D13" s="7">
        <f>$B13 * IFERROR(VLOOKUP("industry|NOx|Non-fatal heart attacks", US_national_yearly!$D:$AM, 12, FALSE) / VLOOKUP("industry|NOx|Non-fatal heart attacks", US_national_yearly!$D:$AM, 10, FALSE), 1)</f>
        <v>1.7749171898318763E-5</v>
      </c>
      <c r="E13" s="7">
        <f>$B13 * IFERROR(VLOOKUP("industry|NOx|Non-fatal heart attacks", US_national_yearly!$D:$AM, 13, FALSE) / VLOOKUP("industry|NOx|Non-fatal heart attacks", US_national_yearly!$D:$AM, 10, FALSE), 1)</f>
        <v>1.8228871777652321E-5</v>
      </c>
      <c r="F13" s="7">
        <f>$B13 * IFERROR(VLOOKUP("industry|NOx|Non-fatal heart attacks", US_national_yearly!$D:$AM, 14, FALSE) / VLOOKUP("industry|NOx|Non-fatal heart attacks", US_national_yearly!$D:$AM, 10, FALSE), 1)</f>
        <v>1.8708571656985879E-5</v>
      </c>
      <c r="G13" s="7">
        <f>$B13 * IFERROR(VLOOKUP("industry|NOx|Non-fatal heart attacks", US_national_yearly!$D:$AM, 15, FALSE) / VLOOKUP("industry|NOx|Non-fatal heart attacks", US_national_yearly!$D:$AM, 10, FALSE), 1)</f>
        <v>1.9157230783244006E-5</v>
      </c>
      <c r="H13" s="7">
        <f>$B13 * IFERROR(VLOOKUP("industry|NOx|Non-fatal heart attacks", US_national_yearly!$D:$AM, 16, FALSE) / VLOOKUP("industry|NOx|Non-fatal heart attacks", US_national_yearly!$D:$AM, 10, FALSE), 1)</f>
        <v>1.960588990950213E-5</v>
      </c>
      <c r="I13" s="7">
        <f>$B13 * IFERROR(VLOOKUP("industry|NOx|Non-fatal heart attacks", US_national_yearly!$D:$AM, 17, FALSE) / VLOOKUP("industry|NOx|Non-fatal heart attacks", US_national_yearly!$D:$AM, 10, FALSE), 1)</f>
        <v>1.9960732115699104E-5</v>
      </c>
      <c r="J13" s="7">
        <f>$B13 * IFERROR(VLOOKUP("industry|NOx|Non-fatal heart attacks", US_national_yearly!$D:$AM, 18, FALSE) / VLOOKUP("industry|NOx|Non-fatal heart attacks", US_national_yearly!$D:$AM, 10, FALSE), 1)</f>
        <v>2.0315574321896079E-5</v>
      </c>
      <c r="K13" s="7">
        <f>$B13 * IFERROR(VLOOKUP("industry|NOx|Non-fatal heart attacks", US_national_yearly!$D:$AM, 19, FALSE) / VLOOKUP("industry|NOx|Non-fatal heart attacks", US_national_yearly!$D:$AM, 10, FALSE), 1)</f>
        <v>2.0670416528093047E-5</v>
      </c>
      <c r="L13" s="7">
        <f>$B13 * IFERROR(VLOOKUP("industry|NOx|Non-fatal heart attacks", US_national_yearly!$D:$AM, 20, FALSE) / VLOOKUP("industry|NOx|Non-fatal heart attacks", US_national_yearly!$D:$AM, 10, FALSE), 1)</f>
        <v>2.1025258734290028E-5</v>
      </c>
      <c r="M13" s="7">
        <f>$B13 * IFERROR(VLOOKUP("industry|NOx|Non-fatal heart attacks", US_national_yearly!$D:$AM, 21, FALSE) / VLOOKUP("industry|NOx|Non-fatal heart attacks", US_national_yearly!$D:$AM, 10, FALSE), 1)</f>
        <v>2.1380100940487009E-5</v>
      </c>
      <c r="N13" s="7">
        <f>$B13 * IFERROR(VLOOKUP("industry|NOx|Non-fatal heart attacks", US_national_yearly!$D:$AM, 22, FALSE) / VLOOKUP("industry|NOx|Non-fatal heart attacks", US_national_yearly!$D:$AM, 10, FALSE), 1)</f>
        <v>2.1593876338920807E-5</v>
      </c>
      <c r="O13" s="7">
        <f>$B13 * IFERROR(VLOOKUP("industry|NOx|Non-fatal heart attacks", US_national_yearly!$D:$AM, 23, FALSE) / VLOOKUP("industry|NOx|Non-fatal heart attacks", US_national_yearly!$D:$AM, 10, FALSE), 1)</f>
        <v>2.1807651737354599E-5</v>
      </c>
      <c r="P13" s="7">
        <f>$B13 * IFERROR(VLOOKUP("industry|NOx|Non-fatal heart attacks", US_national_yearly!$D:$AM, 24, FALSE) / VLOOKUP("industry|NOx|Non-fatal heart attacks", US_national_yearly!$D:$AM, 10, FALSE), 1)</f>
        <v>2.2021427135788393E-5</v>
      </c>
      <c r="Q13" s="7">
        <f>$B13 * IFERROR(VLOOKUP("industry|NOx|Non-fatal heart attacks", US_national_yearly!$D:$AM, 25, FALSE) / VLOOKUP("industry|NOx|Non-fatal heart attacks", US_national_yearly!$D:$AM, 10, FALSE), 1)</f>
        <v>2.2235202534222188E-5</v>
      </c>
      <c r="R13" s="7">
        <f>$B13 * IFERROR(VLOOKUP("industry|NOx|Non-fatal heart attacks", US_national_yearly!$D:$AM, 26, FALSE) / VLOOKUP("industry|NOx|Non-fatal heart attacks", US_national_yearly!$D:$AM, 10, FALSE), 1)</f>
        <v>2.2448977932655983E-5</v>
      </c>
      <c r="S13" s="7">
        <f>$B13 * IFERROR(VLOOKUP("industry|NOx|Non-fatal heart attacks", US_national_yearly!$D:$AM, 27, FALSE) / VLOOKUP("industry|NOx|Non-fatal heart attacks", US_national_yearly!$D:$AM, 10, FALSE), 1)</f>
        <v>2.2547062349510635E-5</v>
      </c>
      <c r="T13" s="7">
        <f>$B13 * IFERROR(VLOOKUP("industry|NOx|Non-fatal heart attacks", US_national_yearly!$D:$AM, 28, FALSE) / VLOOKUP("industry|NOx|Non-fatal heart attacks", US_national_yearly!$D:$AM, 10, FALSE), 1)</f>
        <v>2.264514676636528E-5</v>
      </c>
      <c r="U13" s="7">
        <f>$B13 * IFERROR(VLOOKUP("industry|NOx|Non-fatal heart attacks", US_national_yearly!$D:$AM, 29, FALSE) / VLOOKUP("industry|NOx|Non-fatal heart attacks", US_national_yearly!$D:$AM, 10, FALSE), 1)</f>
        <v>2.2743231183219926E-5</v>
      </c>
      <c r="V13" s="7">
        <f>$B13 * IFERROR(VLOOKUP("industry|NOx|Non-fatal heart attacks", US_national_yearly!$D:$AM, 30, FALSE) / VLOOKUP("industry|NOx|Non-fatal heart attacks", US_national_yearly!$D:$AM, 10, FALSE), 1)</f>
        <v>2.2841315600074578E-5</v>
      </c>
      <c r="W13" s="7">
        <f>$B13 * IFERROR(VLOOKUP("industry|NOx|Non-fatal heart attacks", US_national_yearly!$D:$AM, 31, FALSE) / VLOOKUP("industry|NOx|Non-fatal heart attacks", US_national_yearly!$D:$AM, 10, FALSE), 1)</f>
        <v>2.2939400016929223E-5</v>
      </c>
      <c r="X13" s="7">
        <f>$B13 * IFERROR(VLOOKUP("industry|NOx|Non-fatal heart attacks", US_national_yearly!$D:$AM, 32, FALSE) / VLOOKUP("industry|NOx|Non-fatal heart attacks", US_national_yearly!$D:$AM, 10, FALSE), 1)</f>
        <v>2.3005596252706104E-5</v>
      </c>
      <c r="Y13" s="7">
        <f>$B13 * IFERROR(VLOOKUP("industry|NOx|Non-fatal heart attacks", US_national_yearly!$D:$AM, 33, FALSE) / VLOOKUP("industry|NOx|Non-fatal heart attacks", US_national_yearly!$D:$AM, 10, FALSE), 1)</f>
        <v>2.3071792488482982E-5</v>
      </c>
      <c r="Z13" s="7">
        <f>$B13 * IFERROR(VLOOKUP("industry|NOx|Non-fatal heart attacks", US_national_yearly!$D:$AM, 34, FALSE) / VLOOKUP("industry|NOx|Non-fatal heart attacks", US_national_yearly!$D:$AM, 10, FALSE), 1)</f>
        <v>2.313798872425986E-5</v>
      </c>
      <c r="AA13" s="7">
        <f>$B13 * IFERROR(VLOOKUP("industry|NOx|Non-fatal heart attacks", US_national_yearly!$D:$AM, 35, FALSE) / VLOOKUP("industry|NOx|Non-fatal heart attacks", US_national_yearly!$D:$AM, 10, FALSE), 1)</f>
        <v>2.3204184960036738E-5</v>
      </c>
      <c r="AB13" s="7">
        <f>$B13 * IFERROR(VLOOKUP("industry|NOx|Non-fatal heart attacks", US_national_yearly!$D:$AM, 36, FALSE) / VLOOKUP("industry|NOx|Non-fatal heart attacks", US_national_yearly!$D:$AM, 10, FALSE), 1)</f>
        <v>2.3270381195813615E-5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1.0974397580861555E-2</v>
      </c>
      <c r="C14" s="7">
        <f>$B14 * IFERROR(VLOOKUP("industry|NOx|Minor restricted activity days", US_national_yearly!$D:$AM, 11, FALSE) / VLOOKUP("industry|NOx|Minor restricted activity days", US_national_yearly!$D:$AM, 10, FALSE), 1)</f>
        <v>1.0990656997711682E-2</v>
      </c>
      <c r="D14" s="7">
        <f>$B14 * IFERROR(VLOOKUP("industry|NOx|Minor restricted activity days", US_national_yearly!$D:$AM, 12, FALSE) / VLOOKUP("industry|NOx|Minor restricted activity days", US_national_yearly!$D:$AM, 10, FALSE), 1)</f>
        <v>1.1006916414561807E-2</v>
      </c>
      <c r="E14" s="7">
        <f>$B14 * IFERROR(VLOOKUP("industry|NOx|Minor restricted activity days", US_national_yearly!$D:$AM, 13, FALSE) / VLOOKUP("industry|NOx|Minor restricted activity days", US_national_yearly!$D:$AM, 10, FALSE), 1)</f>
        <v>1.1023175831411934E-2</v>
      </c>
      <c r="F14" s="7">
        <f>$B14 * IFERROR(VLOOKUP("industry|NOx|Minor restricted activity days", US_national_yearly!$D:$AM, 14, FALSE) / VLOOKUP("industry|NOx|Minor restricted activity days", US_national_yearly!$D:$AM, 10, FALSE), 1)</f>
        <v>1.1039435248262057E-2</v>
      </c>
      <c r="G14" s="7">
        <f>$B14 * IFERROR(VLOOKUP("industry|NOx|Minor restricted activity days", US_national_yearly!$D:$AM, 15, FALSE) / VLOOKUP("industry|NOx|Minor restricted activity days", US_national_yearly!$D:$AM, 10, FALSE), 1)</f>
        <v>1.1069033996085496E-2</v>
      </c>
      <c r="H14" s="7">
        <f>$B14 * IFERROR(VLOOKUP("industry|NOx|Minor restricted activity days", US_national_yearly!$D:$AM, 16, FALSE) / VLOOKUP("industry|NOx|Minor restricted activity days", US_national_yearly!$D:$AM, 10, FALSE), 1)</f>
        <v>1.1098632743908933E-2</v>
      </c>
      <c r="I14" s="7">
        <f>$B14 * IFERROR(VLOOKUP("industry|NOx|Minor restricted activity days", US_national_yearly!$D:$AM, 17, FALSE) / VLOOKUP("industry|NOx|Minor restricted activity days", US_national_yearly!$D:$AM, 10, FALSE), 1)</f>
        <v>1.1156902092308265E-2</v>
      </c>
      <c r="J14" s="7">
        <f>$B14 * IFERROR(VLOOKUP("industry|NOx|Minor restricted activity days", US_national_yearly!$D:$AM, 18, FALSE) / VLOOKUP("industry|NOx|Minor restricted activity days", US_national_yearly!$D:$AM, 10, FALSE), 1)</f>
        <v>1.1215171440707593E-2</v>
      </c>
      <c r="K14" s="7">
        <f>$B14 * IFERROR(VLOOKUP("industry|NOx|Minor restricted activity days", US_national_yearly!$D:$AM, 19, FALSE) / VLOOKUP("industry|NOx|Minor restricted activity days", US_national_yearly!$D:$AM, 10, FALSE), 1)</f>
        <v>1.127344078910692E-2</v>
      </c>
      <c r="L14" s="7">
        <f>$B14 * IFERROR(VLOOKUP("industry|NOx|Minor restricted activity days", US_national_yearly!$D:$AM, 20, FALSE) / VLOOKUP("industry|NOx|Minor restricted activity days", US_national_yearly!$D:$AM, 10, FALSE), 1)</f>
        <v>1.1331710137506251E-2</v>
      </c>
      <c r="M14" s="7">
        <f>$B14 * IFERROR(VLOOKUP("industry|NOx|Minor restricted activity days", US_national_yearly!$D:$AM, 21, FALSE) / VLOOKUP("industry|NOx|Minor restricted activity days", US_national_yearly!$D:$AM, 10, FALSE), 1)</f>
        <v>1.1389979485905581E-2</v>
      </c>
      <c r="N14" s="7">
        <f>$B14 * IFERROR(VLOOKUP("industry|NOx|Minor restricted activity days", US_national_yearly!$D:$AM, 22, FALSE) / VLOOKUP("industry|NOx|Minor restricted activity days", US_national_yearly!$D:$AM, 10, FALSE), 1)</f>
        <v>1.1473891243026934E-2</v>
      </c>
      <c r="O14" s="7">
        <f>$B14 * IFERROR(VLOOKUP("industry|NOx|Minor restricted activity days", US_national_yearly!$D:$AM, 23, FALSE) / VLOOKUP("industry|NOx|Minor restricted activity days", US_national_yearly!$D:$AM, 10, FALSE), 1)</f>
        <v>1.1557803000148288E-2</v>
      </c>
      <c r="P14" s="7">
        <f>$B14 * IFERROR(VLOOKUP("industry|NOx|Minor restricted activity days", US_national_yearly!$D:$AM, 24, FALSE) / VLOOKUP("industry|NOx|Minor restricted activity days", US_national_yearly!$D:$AM, 10, FALSE), 1)</f>
        <v>1.1641714757269644E-2</v>
      </c>
      <c r="Q14" s="7">
        <f>$B14 * IFERROR(VLOOKUP("industry|NOx|Minor restricted activity days", US_national_yearly!$D:$AM, 25, FALSE) / VLOOKUP("industry|NOx|Minor restricted activity days", US_national_yearly!$D:$AM, 10, FALSE), 1)</f>
        <v>1.1725626514390996E-2</v>
      </c>
      <c r="R14" s="7">
        <f>$B14 * IFERROR(VLOOKUP("industry|NOx|Minor restricted activity days", US_national_yearly!$D:$AM, 26, FALSE) / VLOOKUP("industry|NOx|Minor restricted activity days", US_national_yearly!$D:$AM, 10, FALSE), 1)</f>
        <v>1.180953827151235E-2</v>
      </c>
      <c r="S14" s="7">
        <f>$B14 * IFERROR(VLOOKUP("industry|NOx|Minor restricted activity days", US_national_yearly!$D:$AM, 27, FALSE) / VLOOKUP("industry|NOx|Minor restricted activity days", US_national_yearly!$D:$AM, 10, FALSE), 1)</f>
        <v>1.1893539867399145E-2</v>
      </c>
      <c r="T14" s="7">
        <f>$B14 * IFERROR(VLOOKUP("industry|NOx|Minor restricted activity days", US_national_yearly!$D:$AM, 28, FALSE) / VLOOKUP("industry|NOx|Minor restricted activity days", US_national_yearly!$D:$AM, 10, FALSE), 1)</f>
        <v>1.1977541463285942E-2</v>
      </c>
      <c r="U14" s="7">
        <f>$B14 * IFERROR(VLOOKUP("industry|NOx|Minor restricted activity days", US_national_yearly!$D:$AM, 29, FALSE) / VLOOKUP("industry|NOx|Minor restricted activity days", US_national_yearly!$D:$AM, 10, FALSE), 1)</f>
        <v>1.2061543059172739E-2</v>
      </c>
      <c r="V14" s="7">
        <f>$B14 * IFERROR(VLOOKUP("industry|NOx|Minor restricted activity days", US_national_yearly!$D:$AM, 30, FALSE) / VLOOKUP("industry|NOx|Minor restricted activity days", US_national_yearly!$D:$AM, 10, FALSE), 1)</f>
        <v>1.2145544655059536E-2</v>
      </c>
      <c r="W14" s="7">
        <f>$B14 * IFERROR(VLOOKUP("industry|NOx|Minor restricted activity days", US_national_yearly!$D:$AM, 31, FALSE) / VLOOKUP("industry|NOx|Minor restricted activity days", US_national_yearly!$D:$AM, 10, FALSE), 1)</f>
        <v>1.2229546250946331E-2</v>
      </c>
      <c r="X14" s="7">
        <f>$B14 * IFERROR(VLOOKUP("industry|NOx|Minor restricted activity days", US_national_yearly!$D:$AM, 32, FALSE) / VLOOKUP("industry|NOx|Minor restricted activity days", US_national_yearly!$D:$AM, 10, FALSE), 1)</f>
        <v>1.230046757239194E-2</v>
      </c>
      <c r="Y14" s="7">
        <f>$B14 * IFERROR(VLOOKUP("industry|NOx|Minor restricted activity days", US_national_yearly!$D:$AM, 33, FALSE) / VLOOKUP("industry|NOx|Minor restricted activity days", US_national_yearly!$D:$AM, 10, FALSE), 1)</f>
        <v>1.2371388893837546E-2</v>
      </c>
      <c r="Z14" s="7">
        <f>$B14 * IFERROR(VLOOKUP("industry|NOx|Minor restricted activity days", US_national_yearly!$D:$AM, 34, FALSE) / VLOOKUP("industry|NOx|Minor restricted activity days", US_national_yearly!$D:$AM, 10, FALSE), 1)</f>
        <v>1.2442310215283152E-2</v>
      </c>
      <c r="AA14" s="7">
        <f>$B14 * IFERROR(VLOOKUP("industry|NOx|Minor restricted activity days", US_national_yearly!$D:$AM, 35, FALSE) / VLOOKUP("industry|NOx|Minor restricted activity days", US_national_yearly!$D:$AM, 10, FALSE), 1)</f>
        <v>1.2513231536728762E-2</v>
      </c>
      <c r="AB14" s="7">
        <f>$B14 * IFERROR(VLOOKUP("industry|NOx|Minor restricted activity days", US_national_yearly!$D:$AM, 36, FALSE) / VLOOKUP("industry|NOx|Minor restricted activity days", US_national_yearly!$D:$AM, 10, FALSE), 1)</f>
        <v>1.2584152858174371E-2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1.8590180344365552E-3</v>
      </c>
      <c r="C15" s="7">
        <f>$B15 * IFERROR(VLOOKUP("industry|NOx|Work loss days", US_national_yearly!$D:$AM, 11, FALSE) / VLOOKUP("industry|NOx|Work loss days", US_national_yearly!$D:$AM, 10, FALSE), 1)</f>
        <v>1.8630459258320194E-3</v>
      </c>
      <c r="D15" s="7">
        <f>$B15 * IFERROR(VLOOKUP("industry|NOx|Work loss days", US_national_yearly!$D:$AM, 12, FALSE) / VLOOKUP("industry|NOx|Work loss days", US_national_yearly!$D:$AM, 10, FALSE), 1)</f>
        <v>1.8670738172274826E-3</v>
      </c>
      <c r="E15" s="7">
        <f>$B15 * IFERROR(VLOOKUP("industry|NOx|Work loss days", US_national_yearly!$D:$AM, 13, FALSE) / VLOOKUP("industry|NOx|Work loss days", US_national_yearly!$D:$AM, 10, FALSE), 1)</f>
        <v>1.8711017086229468E-3</v>
      </c>
      <c r="F15" s="7">
        <f>$B15 * IFERROR(VLOOKUP("industry|NOx|Work loss days", US_national_yearly!$D:$AM, 14, FALSE) / VLOOKUP("industry|NOx|Work loss days", US_national_yearly!$D:$AM, 10, FALSE), 1)</f>
        <v>1.8751296000184107E-3</v>
      </c>
      <c r="G15" s="7">
        <f>$B15 * IFERROR(VLOOKUP("industry|NOx|Work loss days", US_national_yearly!$D:$AM, 15, FALSE) / VLOOKUP("industry|NOx|Work loss days", US_national_yearly!$D:$AM, 10, FALSE), 1)</f>
        <v>1.8810213949054283E-3</v>
      </c>
      <c r="H15" s="7">
        <f>$B15 * IFERROR(VLOOKUP("industry|NOx|Work loss days", US_national_yearly!$D:$AM, 16, FALSE) / VLOOKUP("industry|NOx|Work loss days", US_national_yearly!$D:$AM, 10, FALSE), 1)</f>
        <v>1.8869131897924461E-3</v>
      </c>
      <c r="I15" s="7">
        <f>$B15 * IFERROR(VLOOKUP("industry|NOx|Work loss days", US_national_yearly!$D:$AM, 17, FALSE) / VLOOKUP("industry|NOx|Work loss days", US_national_yearly!$D:$AM, 10, FALSE), 1)</f>
        <v>1.8964858625921336E-3</v>
      </c>
      <c r="J15" s="7">
        <f>$B15 * IFERROR(VLOOKUP("industry|NOx|Work loss days", US_national_yearly!$D:$AM, 18, FALSE) / VLOOKUP("industry|NOx|Work loss days", US_national_yearly!$D:$AM, 10, FALSE), 1)</f>
        <v>1.9060585353918209E-3</v>
      </c>
      <c r="K15" s="7">
        <f>$B15 * IFERROR(VLOOKUP("industry|NOx|Work loss days", US_national_yearly!$D:$AM, 19, FALSE) / VLOOKUP("industry|NOx|Work loss days", US_national_yearly!$D:$AM, 10, FALSE), 1)</f>
        <v>1.9156312081915086E-3</v>
      </c>
      <c r="L15" s="7">
        <f>$B15 * IFERROR(VLOOKUP("industry|NOx|Work loss days", US_national_yearly!$D:$AM, 20, FALSE) / VLOOKUP("industry|NOx|Work loss days", US_national_yearly!$D:$AM, 10, FALSE), 1)</f>
        <v>1.9252038809911959E-3</v>
      </c>
      <c r="M15" s="7">
        <f>$B15 * IFERROR(VLOOKUP("industry|NOx|Work loss days", US_national_yearly!$D:$AM, 21, FALSE) / VLOOKUP("industry|NOx|Work loss days", US_national_yearly!$D:$AM, 10, FALSE), 1)</f>
        <v>1.9347765537908836E-3</v>
      </c>
      <c r="N15" s="7">
        <f>$B15 * IFERROR(VLOOKUP("industry|NOx|Work loss days", US_national_yearly!$D:$AM, 22, FALSE) / VLOOKUP("industry|NOx|Work loss days", US_national_yearly!$D:$AM, 10, FALSE), 1)</f>
        <v>1.9472954389531806E-3</v>
      </c>
      <c r="O15" s="7">
        <f>$B15 * IFERROR(VLOOKUP("industry|NOx|Work loss days", US_national_yearly!$D:$AM, 23, FALSE) / VLOOKUP("industry|NOx|Work loss days", US_national_yearly!$D:$AM, 10, FALSE), 1)</f>
        <v>1.9598143241154782E-3</v>
      </c>
      <c r="P15" s="7">
        <f>$B15 * IFERROR(VLOOKUP("industry|NOx|Work loss days", US_national_yearly!$D:$AM, 24, FALSE) / VLOOKUP("industry|NOx|Work loss days", US_national_yearly!$D:$AM, 10, FALSE), 1)</f>
        <v>1.9723332092777754E-3</v>
      </c>
      <c r="Q15" s="7">
        <f>$B15 * IFERROR(VLOOKUP("industry|NOx|Work loss days", US_national_yearly!$D:$AM, 25, FALSE) / VLOOKUP("industry|NOx|Work loss days", US_national_yearly!$D:$AM, 10, FALSE), 1)</f>
        <v>1.9848520944400726E-3</v>
      </c>
      <c r="R15" s="7">
        <f>$B15 * IFERROR(VLOOKUP("industry|NOx|Work loss days", US_national_yearly!$D:$AM, 26, FALSE) / VLOOKUP("industry|NOx|Work loss days", US_national_yearly!$D:$AM, 10, FALSE), 1)</f>
        <v>1.9973709796023702E-3</v>
      </c>
      <c r="S15" s="7">
        <f>$B15 * IFERROR(VLOOKUP("industry|NOx|Work loss days", US_national_yearly!$D:$AM, 27, FALSE) / VLOOKUP("industry|NOx|Work loss days", US_national_yearly!$D:$AM, 10, FALSE), 1)</f>
        <v>2.0113663349210602E-3</v>
      </c>
      <c r="T15" s="7">
        <f>$B15 * IFERROR(VLOOKUP("industry|NOx|Work loss days", US_national_yearly!$D:$AM, 28, FALSE) / VLOOKUP("industry|NOx|Work loss days", US_national_yearly!$D:$AM, 10, FALSE), 1)</f>
        <v>2.0253616902397506E-3</v>
      </c>
      <c r="U15" s="7">
        <f>$B15 * IFERROR(VLOOKUP("industry|NOx|Work loss days", US_national_yearly!$D:$AM, 29, FALSE) / VLOOKUP("industry|NOx|Work loss days", US_national_yearly!$D:$AM, 10, FALSE), 1)</f>
        <v>2.039357045558441E-3</v>
      </c>
      <c r="V15" s="7">
        <f>$B15 * IFERROR(VLOOKUP("industry|NOx|Work loss days", US_national_yearly!$D:$AM, 30, FALSE) / VLOOKUP("industry|NOx|Work loss days", US_national_yearly!$D:$AM, 10, FALSE), 1)</f>
        <v>2.0533524008771314E-3</v>
      </c>
      <c r="W15" s="7">
        <f>$B15 * IFERROR(VLOOKUP("industry|NOx|Work loss days", US_national_yearly!$D:$AM, 31, FALSE) / VLOOKUP("industry|NOx|Work loss days", US_national_yearly!$D:$AM, 10, FALSE), 1)</f>
        <v>2.0673477561958219E-3</v>
      </c>
      <c r="X15" s="7">
        <f>$B15 * IFERROR(VLOOKUP("industry|NOx|Work loss days", US_national_yearly!$D:$AM, 32, FALSE) / VLOOKUP("industry|NOx|Work loss days", US_national_yearly!$D:$AM, 10, FALSE), 1)</f>
        <v>2.0794892150227525E-3</v>
      </c>
      <c r="Y15" s="7">
        <f>$B15 * IFERROR(VLOOKUP("industry|NOx|Work loss days", US_national_yearly!$D:$AM, 33, FALSE) / VLOOKUP("industry|NOx|Work loss days", US_national_yearly!$D:$AM, 10, FALSE), 1)</f>
        <v>2.0916306738496837E-3</v>
      </c>
      <c r="Z15" s="7">
        <f>$B15 * IFERROR(VLOOKUP("industry|NOx|Work loss days", US_national_yearly!$D:$AM, 34, FALSE) / VLOOKUP("industry|NOx|Work loss days", US_national_yearly!$D:$AM, 10, FALSE), 1)</f>
        <v>2.1037721326766143E-3</v>
      </c>
      <c r="AA15" s="7">
        <f>$B15 * IFERROR(VLOOKUP("industry|NOx|Work loss days", US_national_yearly!$D:$AM, 35, FALSE) / VLOOKUP("industry|NOx|Work loss days", US_national_yearly!$D:$AM, 10, FALSE), 1)</f>
        <v>2.115913591503545E-3</v>
      </c>
      <c r="AB15" s="7">
        <f>$B15 * IFERROR(VLOOKUP("industry|NOx|Work loss days", US_national_yearly!$D:$AM, 36, FALSE) / VLOOKUP("industry|NOx|Work loss days", US_national_yearly!$D:$AM, 10, FALSE), 1)</f>
        <v>2.1280550503304761E-3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3.2376076377267617E-6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3.3326724461175678E-6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3.4277372545083744E-6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3.5228020628991806E-6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3.6178668712899876E-6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3.7082187609268495E-6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3.7985706505637127E-6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3.8747438311284142E-6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3.9509170116931158E-6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4.0270901922578164E-6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4.103263372822518E-6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4.1794365533872195E-6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4.2271240990010342E-6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4.2748116446148473E-6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4.322499190228662E-6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4.3701867358424759E-6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4.4178742814562889E-6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4.4398734841464973E-6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4.4618726868367049E-6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4.4838718895269133E-6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4.5058710922171209E-6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4.5278702949073293E-6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4.5402996906805485E-6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4.5527290864537677E-6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4.5651584822269878E-6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4.5775878780002061E-6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4.5900172737734262E-6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7.5988756922116206E-4</v>
      </c>
      <c r="C2" s="7">
        <f>$B2 * IFERROR(VLOOKUP("industry|SO2|Premature mortality", US_national_yearly!$D:$AM, 11, FALSE) / VLOOKUP("industry|SO2|Premature mortality", US_national_yearly!$D:$AM, 10, FALSE), 1)</f>
        <v>7.695205899960919E-4</v>
      </c>
      <c r="D2" s="7">
        <f>$B2 * IFERROR(VLOOKUP("industry|SO2|Premature mortality", US_national_yearly!$D:$AM, 12, FALSE) / VLOOKUP("industry|SO2|Premature mortality", US_national_yearly!$D:$AM, 10, FALSE), 1)</f>
        <v>7.7915361077102163E-4</v>
      </c>
      <c r="E2" s="7">
        <f>$B2 * IFERROR(VLOOKUP("industry|SO2|Premature mortality", US_national_yearly!$D:$AM, 13, FALSE) / VLOOKUP("industry|SO2|Premature mortality", US_national_yearly!$D:$AM, 10, FALSE), 1)</f>
        <v>7.8878663154595126E-4</v>
      </c>
      <c r="F2" s="7">
        <f>$B2 * IFERROR(VLOOKUP("industry|SO2|Premature mortality", US_national_yearly!$D:$AM, 14, FALSE) / VLOOKUP("industry|SO2|Premature mortality", US_national_yearly!$D:$AM, 10, FALSE), 1)</f>
        <v>7.984196523208812E-4</v>
      </c>
      <c r="G2" s="7">
        <f>$B2 * IFERROR(VLOOKUP("industry|SO2|Premature mortality", US_national_yearly!$D:$AM, 15, FALSE) / VLOOKUP("industry|SO2|Premature mortality", US_national_yearly!$D:$AM, 10, FALSE), 1)</f>
        <v>8.1698694937249892E-4</v>
      </c>
      <c r="H2" s="7">
        <f>$B2 * IFERROR(VLOOKUP("industry|SO2|Premature mortality", US_national_yearly!$D:$AM, 16, FALSE) / VLOOKUP("industry|SO2|Premature mortality", US_national_yearly!$D:$AM, 10, FALSE), 1)</f>
        <v>8.3555424642411675E-4</v>
      </c>
      <c r="I2" s="7">
        <f>$B2 * IFERROR(VLOOKUP("industry|SO2|Premature mortality", US_national_yearly!$D:$AM, 17, FALSE) / VLOOKUP("industry|SO2|Premature mortality", US_national_yearly!$D:$AM, 10, FALSE), 1)</f>
        <v>8.4784896708633159E-4</v>
      </c>
      <c r="J2" s="7">
        <f>$B2 * IFERROR(VLOOKUP("industry|SO2|Premature mortality", US_national_yearly!$D:$AM, 18, FALSE) / VLOOKUP("industry|SO2|Premature mortality", US_national_yearly!$D:$AM, 10, FALSE), 1)</f>
        <v>8.6014368774854633E-4</v>
      </c>
      <c r="K2" s="7">
        <f>$B2 * IFERROR(VLOOKUP("industry|SO2|Premature mortality", US_national_yearly!$D:$AM, 19, FALSE) / VLOOKUP("industry|SO2|Premature mortality", US_national_yearly!$D:$AM, 10, FALSE), 1)</f>
        <v>8.7243840841076095E-4</v>
      </c>
      <c r="L2" s="7">
        <f>$B2 * IFERROR(VLOOKUP("industry|SO2|Premature mortality", US_national_yearly!$D:$AM, 20, FALSE) / VLOOKUP("industry|SO2|Premature mortality", US_national_yearly!$D:$AM, 10, FALSE), 1)</f>
        <v>8.8473312907297579E-4</v>
      </c>
      <c r="M2" s="7">
        <f>$B2 * IFERROR(VLOOKUP("industry|SO2|Premature mortality", US_national_yearly!$D:$AM, 21, FALSE) / VLOOKUP("industry|SO2|Premature mortality", US_national_yearly!$D:$AM, 10, FALSE), 1)</f>
        <v>8.9702784973519053E-4</v>
      </c>
      <c r="N2" s="7">
        <f>$B2 * IFERROR(VLOOKUP("industry|SO2|Premature mortality", US_national_yearly!$D:$AM, 22, FALSE) / VLOOKUP("industry|SO2|Premature mortality", US_national_yearly!$D:$AM, 10, FALSE), 1)</f>
        <v>9.0664524450256487E-4</v>
      </c>
      <c r="O2" s="7">
        <f>$B2 * IFERROR(VLOOKUP("industry|SO2|Premature mortality", US_national_yearly!$D:$AM, 23, FALSE) / VLOOKUP("industry|SO2|Premature mortality", US_national_yearly!$D:$AM, 10, FALSE), 1)</f>
        <v>9.1626263926993922E-4</v>
      </c>
      <c r="P2" s="7">
        <f>$B2 * IFERROR(VLOOKUP("industry|SO2|Premature mortality", US_national_yearly!$D:$AM, 24, FALSE) / VLOOKUP("industry|SO2|Premature mortality", US_national_yearly!$D:$AM, 10, FALSE), 1)</f>
        <v>9.2588003403731368E-4</v>
      </c>
      <c r="Q2" s="7">
        <f>$B2 * IFERROR(VLOOKUP("industry|SO2|Premature mortality", US_national_yearly!$D:$AM, 25, FALSE) / VLOOKUP("industry|SO2|Premature mortality", US_national_yearly!$D:$AM, 10, FALSE), 1)</f>
        <v>9.3549742880468802E-4</v>
      </c>
      <c r="R2" s="7">
        <f>$B2 * IFERROR(VLOOKUP("industry|SO2|Premature mortality", US_national_yearly!$D:$AM, 26, FALSE) / VLOOKUP("industry|SO2|Premature mortality", US_national_yearly!$D:$AM, 10, FALSE), 1)</f>
        <v>9.4511482357206237E-4</v>
      </c>
      <c r="S2" s="7">
        <f>$B2 * IFERROR(VLOOKUP("industry|SO2|Premature mortality", US_national_yearly!$D:$AM, 27, FALSE) / VLOOKUP("industry|SO2|Premature mortality", US_national_yearly!$D:$AM, 10, FALSE), 1)</f>
        <v>9.5030768691759123E-4</v>
      </c>
      <c r="T2" s="7">
        <f>$B2 * IFERROR(VLOOKUP("industry|SO2|Premature mortality", US_national_yearly!$D:$AM, 28, FALSE) / VLOOKUP("industry|SO2|Premature mortality", US_national_yearly!$D:$AM, 10, FALSE), 1)</f>
        <v>9.5550055026312019E-4</v>
      </c>
      <c r="U2" s="7">
        <f>$B2 * IFERROR(VLOOKUP("industry|SO2|Premature mortality", US_national_yearly!$D:$AM, 29, FALSE) / VLOOKUP("industry|SO2|Premature mortality", US_national_yearly!$D:$AM, 10, FALSE), 1)</f>
        <v>9.6069341360864938E-4</v>
      </c>
      <c r="V2" s="7">
        <f>$B2 * IFERROR(VLOOKUP("industry|SO2|Premature mortality", US_national_yearly!$D:$AM, 30, FALSE) / VLOOKUP("industry|SO2|Premature mortality", US_national_yearly!$D:$AM, 10, FALSE), 1)</f>
        <v>9.6588627695417845E-4</v>
      </c>
      <c r="W2" s="7">
        <f>$B2 * IFERROR(VLOOKUP("industry|SO2|Premature mortality", US_national_yearly!$D:$AM, 31, FALSE) / VLOOKUP("industry|SO2|Premature mortality", US_national_yearly!$D:$AM, 10, FALSE), 1)</f>
        <v>9.7107914029970742E-4</v>
      </c>
      <c r="X2" s="7">
        <f>$B2 * IFERROR(VLOOKUP("industry|SO2|Premature mortality", US_national_yearly!$D:$AM, 32, FALSE) / VLOOKUP("industry|SO2|Premature mortality", US_national_yearly!$D:$AM, 10, FALSE), 1)</f>
        <v>9.7219680294621466E-4</v>
      </c>
      <c r="Y2" s="7">
        <f>$B2 * IFERROR(VLOOKUP("industry|SO2|Premature mortality", US_national_yearly!$D:$AM, 33, FALSE) / VLOOKUP("industry|SO2|Premature mortality", US_national_yearly!$D:$AM, 10, FALSE), 1)</f>
        <v>9.733144655927219E-4</v>
      </c>
      <c r="Z2" s="7">
        <f>$B2 * IFERROR(VLOOKUP("industry|SO2|Premature mortality", US_national_yearly!$D:$AM, 34, FALSE) / VLOOKUP("industry|SO2|Premature mortality", US_national_yearly!$D:$AM, 10, FALSE), 1)</f>
        <v>9.7443212823922936E-4</v>
      </c>
      <c r="AA2" s="7">
        <f>$B2 * IFERROR(VLOOKUP("industry|SO2|Premature mortality", US_national_yearly!$D:$AM, 35, FALSE) / VLOOKUP("industry|SO2|Premature mortality", US_national_yearly!$D:$AM, 10, FALSE), 1)</f>
        <v>9.755497908857366E-4</v>
      </c>
      <c r="AB2" s="7">
        <f>$B2 * IFERROR(VLOOKUP("industry|SO2|Premature mortality", US_national_yearly!$D:$AM, 36, FALSE) / VLOOKUP("industry|SO2|Premature mortality", US_national_yearly!$D:$AM, 10, FALSE), 1)</f>
        <v>9.7666745353224395E-4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2.3635135876851571E-6</v>
      </c>
      <c r="C3" s="7">
        <f>$B3 * IFERROR(VLOOKUP("industry|SO2|Infant mortality", US_national_yearly!$D:$AM, 11, FALSE) / VLOOKUP("industry|SO2|Infant mortality", US_national_yearly!$D:$AM, 10, FALSE), 1)</f>
        <v>2.3431800980237922E-6</v>
      </c>
      <c r="D3" s="7">
        <f>$B3 * IFERROR(VLOOKUP("industry|SO2|Infant mortality", US_national_yearly!$D:$AM, 12, FALSE) / VLOOKUP("industry|SO2|Infant mortality", US_national_yearly!$D:$AM, 10, FALSE), 1)</f>
        <v>2.3228466083624277E-6</v>
      </c>
      <c r="E3" s="7">
        <f>$B3 * IFERROR(VLOOKUP("industry|SO2|Infant mortality", US_national_yearly!$D:$AM, 13, FALSE) / VLOOKUP("industry|SO2|Infant mortality", US_national_yearly!$D:$AM, 10, FALSE), 1)</f>
        <v>2.3025131187010633E-6</v>
      </c>
      <c r="F3" s="7">
        <f>$B3 * IFERROR(VLOOKUP("industry|SO2|Infant mortality", US_national_yearly!$D:$AM, 14, FALSE) / VLOOKUP("industry|SO2|Infant mortality", US_national_yearly!$D:$AM, 10, FALSE), 1)</f>
        <v>2.2821796290396988E-6</v>
      </c>
      <c r="G3" s="7">
        <f>$B3 * IFERROR(VLOOKUP("industry|SO2|Infant mortality", US_national_yearly!$D:$AM, 15, FALSE) / VLOOKUP("industry|SO2|Infant mortality", US_national_yearly!$D:$AM, 10, FALSE), 1)</f>
        <v>1.5192432049365832E-6</v>
      </c>
      <c r="H3" s="7">
        <f>$B3 * IFERROR(VLOOKUP("industry|SO2|Infant mortality", US_national_yearly!$D:$AM, 16, FALSE) / VLOOKUP("industry|SO2|Infant mortality", US_national_yearly!$D:$AM, 10, FALSE), 1)</f>
        <v>7.5630678083346803E-7</v>
      </c>
      <c r="I3" s="7">
        <f>$B3 * IFERROR(VLOOKUP("industry|SO2|Infant mortality", US_national_yearly!$D:$AM, 17, FALSE) / VLOOKUP("industry|SO2|Infant mortality", US_national_yearly!$D:$AM, 10, FALSE), 1)</f>
        <v>7.5150429728113463E-7</v>
      </c>
      <c r="J3" s="7">
        <f>$B3 * IFERROR(VLOOKUP("industry|SO2|Infant mortality", US_national_yearly!$D:$AM, 18, FALSE) / VLOOKUP("industry|SO2|Infant mortality", US_national_yearly!$D:$AM, 10, FALSE), 1)</f>
        <v>7.4670181372880133E-7</v>
      </c>
      <c r="K3" s="7">
        <f>$B3 * IFERROR(VLOOKUP("industry|SO2|Infant mortality", US_national_yearly!$D:$AM, 19, FALSE) / VLOOKUP("industry|SO2|Infant mortality", US_national_yearly!$D:$AM, 10, FALSE), 1)</f>
        <v>7.4189933017646793E-7</v>
      </c>
      <c r="L3" s="7">
        <f>$B3 * IFERROR(VLOOKUP("industry|SO2|Infant mortality", US_national_yearly!$D:$AM, 20, FALSE) / VLOOKUP("industry|SO2|Infant mortality", US_national_yearly!$D:$AM, 10, FALSE), 1)</f>
        <v>7.3709684662413453E-7</v>
      </c>
      <c r="M3" s="7">
        <f>$B3 * IFERROR(VLOOKUP("industry|SO2|Infant mortality", US_national_yearly!$D:$AM, 21, FALSE) / VLOOKUP("industry|SO2|Infant mortality", US_national_yearly!$D:$AM, 10, FALSE), 1)</f>
        <v>7.3229436307180124E-7</v>
      </c>
      <c r="N3" s="7">
        <f>$B3 * IFERROR(VLOOKUP("industry|SO2|Infant mortality", US_national_yearly!$D:$AM, 22, FALSE) / VLOOKUP("industry|SO2|Infant mortality", US_national_yearly!$D:$AM, 10, FALSE), 1)</f>
        <v>7.2925052643451588E-7</v>
      </c>
      <c r="O3" s="7">
        <f>$B3 * IFERROR(VLOOKUP("industry|SO2|Infant mortality", US_national_yearly!$D:$AM, 23, FALSE) / VLOOKUP("industry|SO2|Infant mortality", US_national_yearly!$D:$AM, 10, FALSE), 1)</f>
        <v>7.2620668979723064E-7</v>
      </c>
      <c r="P3" s="7">
        <f>$B3 * IFERROR(VLOOKUP("industry|SO2|Infant mortality", US_national_yearly!$D:$AM, 24, FALSE) / VLOOKUP("industry|SO2|Infant mortality", US_national_yearly!$D:$AM, 10, FALSE), 1)</f>
        <v>7.2316285315994528E-7</v>
      </c>
      <c r="Q3" s="7">
        <f>$B3 * IFERROR(VLOOKUP("industry|SO2|Infant mortality", US_national_yearly!$D:$AM, 25, FALSE) / VLOOKUP("industry|SO2|Infant mortality", US_national_yearly!$D:$AM, 10, FALSE), 1)</f>
        <v>7.2011901652265993E-7</v>
      </c>
      <c r="R3" s="7">
        <f>$B3 * IFERROR(VLOOKUP("industry|SO2|Infant mortality", US_national_yearly!$D:$AM, 26, FALSE) / VLOOKUP("industry|SO2|Infant mortality", US_national_yearly!$D:$AM, 10, FALSE), 1)</f>
        <v>7.1707517988537458E-7</v>
      </c>
      <c r="S3" s="7">
        <f>$B3 * IFERROR(VLOOKUP("industry|SO2|Infant mortality", US_national_yearly!$D:$AM, 27, FALSE) / VLOOKUP("industry|SO2|Infant mortality", US_national_yearly!$D:$AM, 10, FALSE), 1)</f>
        <v>7.1328715991340001E-7</v>
      </c>
      <c r="T3" s="7">
        <f>$B3 * IFERROR(VLOOKUP("industry|SO2|Infant mortality", US_national_yearly!$D:$AM, 28, FALSE) / VLOOKUP("industry|SO2|Infant mortality", US_national_yearly!$D:$AM, 10, FALSE), 1)</f>
        <v>7.0949913994142534E-7</v>
      </c>
      <c r="U3" s="7">
        <f>$B3 * IFERROR(VLOOKUP("industry|SO2|Infant mortality", US_national_yearly!$D:$AM, 29, FALSE) / VLOOKUP("industry|SO2|Infant mortality", US_national_yearly!$D:$AM, 10, FALSE), 1)</f>
        <v>7.0571111996945067E-7</v>
      </c>
      <c r="V3" s="7">
        <f>$B3 * IFERROR(VLOOKUP("industry|SO2|Infant mortality", US_national_yearly!$D:$AM, 30, FALSE) / VLOOKUP("industry|SO2|Infant mortality", US_national_yearly!$D:$AM, 10, FALSE), 1)</f>
        <v>7.019230999974761E-7</v>
      </c>
      <c r="W3" s="7">
        <f>$B3 * IFERROR(VLOOKUP("industry|SO2|Infant mortality", US_national_yearly!$D:$AM, 31, FALSE) / VLOOKUP("industry|SO2|Infant mortality", US_national_yearly!$D:$AM, 10, FALSE), 1)</f>
        <v>6.9813508002550143E-7</v>
      </c>
      <c r="X3" s="7">
        <f>$B3 * IFERROR(VLOOKUP("industry|SO2|Infant mortality", US_national_yearly!$D:$AM, 32, FALSE) / VLOOKUP("industry|SO2|Infant mortality", US_national_yearly!$D:$AM, 10, FALSE), 1)</f>
        <v>6.9401863274102209E-7</v>
      </c>
      <c r="Y3" s="7">
        <f>$B3 * IFERROR(VLOOKUP("industry|SO2|Infant mortality", US_national_yearly!$D:$AM, 33, FALSE) / VLOOKUP("industry|SO2|Infant mortality", US_national_yearly!$D:$AM, 10, FALSE), 1)</f>
        <v>6.8990218545654265E-7</v>
      </c>
      <c r="Z3" s="7">
        <f>$B3 * IFERROR(VLOOKUP("industry|SO2|Infant mortality", US_national_yearly!$D:$AM, 34, FALSE) / VLOOKUP("industry|SO2|Infant mortality", US_national_yearly!$D:$AM, 10, FALSE), 1)</f>
        <v>6.8578573817206331E-7</v>
      </c>
      <c r="AA3" s="7">
        <f>$B3 * IFERROR(VLOOKUP("industry|SO2|Infant mortality", US_national_yearly!$D:$AM, 35, FALSE) / VLOOKUP("industry|SO2|Infant mortality", US_national_yearly!$D:$AM, 10, FALSE), 1)</f>
        <v>6.8166929088758386E-7</v>
      </c>
      <c r="AB3" s="7">
        <f>$B3 * IFERROR(VLOOKUP("industry|SO2|Infant mortality", US_national_yearly!$D:$AM, 36, FALSE) / VLOOKUP("industry|SO2|Infant mortality", US_national_yearly!$D:$AM, 10, FALSE), 1)</f>
        <v>6.7755284360310452E-7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2.123303414238492E-3</v>
      </c>
      <c r="C6" s="7">
        <f>$B6 * IFERROR(VLOOKUP("industry|SO2|Asthma symptoms cough", US_national_yearly!$D:$AM, 11, FALSE) / VLOOKUP("industry|SO2|Asthma symptoms cough", US_national_yearly!$D:$AM, 10, FALSE), 1)</f>
        <v>2.123303414238492E-3</v>
      </c>
      <c r="D6" s="7">
        <f>$B6 * IFERROR(VLOOKUP("industry|SO2|Asthma symptoms cough", US_national_yearly!$D:$AM, 12, FALSE) / VLOOKUP("industry|SO2|Asthma symptoms cough", US_national_yearly!$D:$AM, 10, FALSE), 1)</f>
        <v>2.123303414238492E-3</v>
      </c>
      <c r="E6" s="7">
        <f>$B6 * IFERROR(VLOOKUP("industry|SO2|Asthma symptoms cough", US_national_yearly!$D:$AM, 13, FALSE) / VLOOKUP("industry|SO2|Asthma symptoms cough", US_national_yearly!$D:$AM, 10, FALSE), 1)</f>
        <v>2.123303414238492E-3</v>
      </c>
      <c r="F6" s="7">
        <f>$B6 * IFERROR(VLOOKUP("industry|SO2|Asthma symptoms cough", US_national_yearly!$D:$AM, 14, FALSE) / VLOOKUP("industry|SO2|Asthma symptoms cough", US_national_yearly!$D:$AM, 10, FALSE), 1)</f>
        <v>2.123303414238492E-3</v>
      </c>
      <c r="G6" s="7">
        <f>$B6 * IFERROR(VLOOKUP("industry|SO2|Asthma symptoms cough", US_national_yearly!$D:$AM, 15, FALSE) / VLOOKUP("industry|SO2|Asthma symptoms cough", US_national_yearly!$D:$AM, 10, FALSE), 1)</f>
        <v>2.123303414238492E-3</v>
      </c>
      <c r="H6" s="7">
        <f>$B6 * IFERROR(VLOOKUP("industry|SO2|Asthma symptoms cough", US_national_yearly!$D:$AM, 16, FALSE) / VLOOKUP("industry|SO2|Asthma symptoms cough", US_national_yearly!$D:$AM, 10, FALSE), 1)</f>
        <v>2.123303414238492E-3</v>
      </c>
      <c r="I6" s="7">
        <f>$B6 * IFERROR(VLOOKUP("industry|SO2|Asthma symptoms cough", US_national_yearly!$D:$AM, 17, FALSE) / VLOOKUP("industry|SO2|Asthma symptoms cough", US_national_yearly!$D:$AM, 10, FALSE), 1)</f>
        <v>2.123303414238492E-3</v>
      </c>
      <c r="J6" s="7">
        <f>$B6 * IFERROR(VLOOKUP("industry|SO2|Asthma symptoms cough", US_national_yearly!$D:$AM, 18, FALSE) / VLOOKUP("industry|SO2|Asthma symptoms cough", US_national_yearly!$D:$AM, 10, FALSE), 1)</f>
        <v>2.123303414238492E-3</v>
      </c>
      <c r="K6" s="7">
        <f>$B6 * IFERROR(VLOOKUP("industry|SO2|Asthma symptoms cough", US_national_yearly!$D:$AM, 19, FALSE) / VLOOKUP("industry|SO2|Asthma symptoms cough", US_national_yearly!$D:$AM, 10, FALSE), 1)</f>
        <v>2.123303414238492E-3</v>
      </c>
      <c r="L6" s="7">
        <f>$B6 * IFERROR(VLOOKUP("industry|SO2|Asthma symptoms cough", US_national_yearly!$D:$AM, 20, FALSE) / VLOOKUP("industry|SO2|Asthma symptoms cough", US_national_yearly!$D:$AM, 10, FALSE), 1)</f>
        <v>2.123303414238492E-3</v>
      </c>
      <c r="M6" s="7">
        <f>$B6 * IFERROR(VLOOKUP("industry|SO2|Asthma symptoms cough", US_national_yearly!$D:$AM, 21, FALSE) / VLOOKUP("industry|SO2|Asthma symptoms cough", US_national_yearly!$D:$AM, 10, FALSE), 1)</f>
        <v>2.123303414238492E-3</v>
      </c>
      <c r="N6" s="7">
        <f>$B6 * IFERROR(VLOOKUP("industry|SO2|Asthma symptoms cough", US_national_yearly!$D:$AM, 22, FALSE) / VLOOKUP("industry|SO2|Asthma symptoms cough", US_national_yearly!$D:$AM, 10, FALSE), 1)</f>
        <v>2.123303414238492E-3</v>
      </c>
      <c r="O6" s="7">
        <f>$B6 * IFERROR(VLOOKUP("industry|SO2|Asthma symptoms cough", US_national_yearly!$D:$AM, 23, FALSE) / VLOOKUP("industry|SO2|Asthma symptoms cough", US_national_yearly!$D:$AM, 10, FALSE), 1)</f>
        <v>2.123303414238492E-3</v>
      </c>
      <c r="P6" s="7">
        <f>$B6 * IFERROR(VLOOKUP("industry|SO2|Asthma symptoms cough", US_national_yearly!$D:$AM, 24, FALSE) / VLOOKUP("industry|SO2|Asthma symptoms cough", US_national_yearly!$D:$AM, 10, FALSE), 1)</f>
        <v>2.123303414238492E-3</v>
      </c>
      <c r="Q6" s="7">
        <f>$B6 * IFERROR(VLOOKUP("industry|SO2|Asthma symptoms cough", US_national_yearly!$D:$AM, 25, FALSE) / VLOOKUP("industry|SO2|Asthma symptoms cough", US_national_yearly!$D:$AM, 10, FALSE), 1)</f>
        <v>2.123303414238492E-3</v>
      </c>
      <c r="R6" s="7">
        <f>$B6 * IFERROR(VLOOKUP("industry|SO2|Asthma symptoms cough", US_national_yearly!$D:$AM, 26, FALSE) / VLOOKUP("industry|SO2|Asthma symptoms cough", US_national_yearly!$D:$AM, 10, FALSE), 1)</f>
        <v>2.123303414238492E-3</v>
      </c>
      <c r="S6" s="7">
        <f>$B6 * IFERROR(VLOOKUP("industry|SO2|Asthma symptoms cough", US_national_yearly!$D:$AM, 27, FALSE) / VLOOKUP("industry|SO2|Asthma symptoms cough", US_national_yearly!$D:$AM, 10, FALSE), 1)</f>
        <v>2.123303414238492E-3</v>
      </c>
      <c r="T6" s="7">
        <f>$B6 * IFERROR(VLOOKUP("industry|SO2|Asthma symptoms cough", US_national_yearly!$D:$AM, 28, FALSE) / VLOOKUP("industry|SO2|Asthma symptoms cough", US_national_yearly!$D:$AM, 10, FALSE), 1)</f>
        <v>2.123303414238492E-3</v>
      </c>
      <c r="U6" s="7">
        <f>$B6 * IFERROR(VLOOKUP("industry|SO2|Asthma symptoms cough", US_national_yearly!$D:$AM, 29, FALSE) / VLOOKUP("industry|SO2|Asthma symptoms cough", US_national_yearly!$D:$AM, 10, FALSE), 1)</f>
        <v>2.123303414238492E-3</v>
      </c>
      <c r="V6" s="7">
        <f>$B6 * IFERROR(VLOOKUP("industry|SO2|Asthma symptoms cough", US_national_yearly!$D:$AM, 30, FALSE) / VLOOKUP("industry|SO2|Asthma symptoms cough", US_national_yearly!$D:$AM, 10, FALSE), 1)</f>
        <v>2.123303414238492E-3</v>
      </c>
      <c r="W6" s="7">
        <f>$B6 * IFERROR(VLOOKUP("industry|SO2|Asthma symptoms cough", US_national_yearly!$D:$AM, 31, FALSE) / VLOOKUP("industry|SO2|Asthma symptoms cough", US_national_yearly!$D:$AM, 10, FALSE), 1)</f>
        <v>2.123303414238492E-3</v>
      </c>
      <c r="X6" s="7">
        <f>$B6 * IFERROR(VLOOKUP("industry|SO2|Asthma symptoms cough", US_national_yearly!$D:$AM, 32, FALSE) / VLOOKUP("industry|SO2|Asthma symptoms cough", US_national_yearly!$D:$AM, 10, FALSE), 1)</f>
        <v>2.123303414238492E-3</v>
      </c>
      <c r="Y6" s="7">
        <f>$B6 * IFERROR(VLOOKUP("industry|SO2|Asthma symptoms cough", US_national_yearly!$D:$AM, 33, FALSE) / VLOOKUP("industry|SO2|Asthma symptoms cough", US_national_yearly!$D:$AM, 10, FALSE), 1)</f>
        <v>2.123303414238492E-3</v>
      </c>
      <c r="Z6" s="7">
        <f>$B6 * IFERROR(VLOOKUP("industry|SO2|Asthma symptoms cough", US_national_yearly!$D:$AM, 34, FALSE) / VLOOKUP("industry|SO2|Asthma symptoms cough", US_national_yearly!$D:$AM, 10, FALSE), 1)</f>
        <v>2.123303414238492E-3</v>
      </c>
      <c r="AA6" s="7">
        <f>$B6 * IFERROR(VLOOKUP("industry|SO2|Asthma symptoms cough", US_national_yearly!$D:$AM, 35, FALSE) / VLOOKUP("industry|SO2|Asthma symptoms cough", US_national_yearly!$D:$AM, 10, FALSE), 1)</f>
        <v>2.123303414238492E-3</v>
      </c>
      <c r="AB6" s="7">
        <f>$B6 * IFERROR(VLOOKUP("industry|SO2|Asthma symptoms cough", US_national_yearly!$D:$AM, 36, FALSE) / VLOOKUP("industry|SO2|Asthma symptoms cough", US_national_yearly!$D:$AM, 10, FALSE), 1)</f>
        <v>2.123303414238492E-3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2.859336683145741E-3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2.859336683145741E-3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2.859336683145741E-3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2.859336683145741E-3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2.859336683145741E-3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2.859336683145741E-3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2.859336683145741E-3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2.859336683145741E-3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2.859336683145741E-3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2.859336683145741E-3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2.859336683145741E-3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2.859336683145741E-3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2.859336683145741E-3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2.859336683145741E-3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2.859336683145741E-3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2.859336683145741E-3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2.859336683145741E-3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2.859336683145741E-3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2.859336683145741E-3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2.859336683145741E-3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2.859336683145741E-3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2.859336683145741E-3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2.859336683145741E-3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2.859336683145741E-3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2.859336683145741E-3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2.859336683145741E-3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2.859336683145741E-3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4.3685800453307352E-3</v>
      </c>
      <c r="C8" s="7">
        <f>$B8 * IFERROR(VLOOKUP("industry|SO2|Asthma symptoms wheeze", US_national_yearly!$D:$AM, 11, FALSE) / VLOOKUP("industry|SO2|Asthma symptoms wheeze", US_national_yearly!$D:$AM, 10, FALSE), 1)</f>
        <v>4.3685800453307352E-3</v>
      </c>
      <c r="D8" s="7">
        <f>$B8 * IFERROR(VLOOKUP("industry|SO2|Asthma symptoms wheeze", US_national_yearly!$D:$AM, 12, FALSE) / VLOOKUP("industry|SO2|Asthma symptoms wheeze", US_national_yearly!$D:$AM, 10, FALSE), 1)</f>
        <v>4.3685800453307352E-3</v>
      </c>
      <c r="E8" s="7">
        <f>$B8 * IFERROR(VLOOKUP("industry|SO2|Asthma symptoms wheeze", US_national_yearly!$D:$AM, 13, FALSE) / VLOOKUP("industry|SO2|Asthma symptoms wheeze", US_national_yearly!$D:$AM, 10, FALSE), 1)</f>
        <v>4.3685800453307352E-3</v>
      </c>
      <c r="F8" s="7">
        <f>$B8 * IFERROR(VLOOKUP("industry|SO2|Asthma symptoms wheeze", US_national_yearly!$D:$AM, 14, FALSE) / VLOOKUP("industry|SO2|Asthma symptoms wheeze", US_national_yearly!$D:$AM, 10, FALSE), 1)</f>
        <v>4.3685800453307352E-3</v>
      </c>
      <c r="G8" s="7">
        <f>$B8 * IFERROR(VLOOKUP("industry|SO2|Asthma symptoms wheeze", US_national_yearly!$D:$AM, 15, FALSE) / VLOOKUP("industry|SO2|Asthma symptoms wheeze", US_national_yearly!$D:$AM, 10, FALSE), 1)</f>
        <v>4.3685800453307352E-3</v>
      </c>
      <c r="H8" s="7">
        <f>$B8 * IFERROR(VLOOKUP("industry|SO2|Asthma symptoms wheeze", US_national_yearly!$D:$AM, 16, FALSE) / VLOOKUP("industry|SO2|Asthma symptoms wheeze", US_national_yearly!$D:$AM, 10, FALSE), 1)</f>
        <v>4.3685800453307352E-3</v>
      </c>
      <c r="I8" s="7">
        <f>$B8 * IFERROR(VLOOKUP("industry|SO2|Asthma symptoms wheeze", US_national_yearly!$D:$AM, 17, FALSE) / VLOOKUP("industry|SO2|Asthma symptoms wheeze", US_national_yearly!$D:$AM, 10, FALSE), 1)</f>
        <v>4.3685800453307352E-3</v>
      </c>
      <c r="J8" s="7">
        <f>$B8 * IFERROR(VLOOKUP("industry|SO2|Asthma symptoms wheeze", US_national_yearly!$D:$AM, 18, FALSE) / VLOOKUP("industry|SO2|Asthma symptoms wheeze", US_national_yearly!$D:$AM, 10, FALSE), 1)</f>
        <v>4.3685800453307352E-3</v>
      </c>
      <c r="K8" s="7">
        <f>$B8 * IFERROR(VLOOKUP("industry|SO2|Asthma symptoms wheeze", US_national_yearly!$D:$AM, 19, FALSE) / VLOOKUP("industry|SO2|Asthma symptoms wheeze", US_national_yearly!$D:$AM, 10, FALSE), 1)</f>
        <v>4.3685800453307352E-3</v>
      </c>
      <c r="L8" s="7">
        <f>$B8 * IFERROR(VLOOKUP("industry|SO2|Asthma symptoms wheeze", US_national_yearly!$D:$AM, 20, FALSE) / VLOOKUP("industry|SO2|Asthma symptoms wheeze", US_national_yearly!$D:$AM, 10, FALSE), 1)</f>
        <v>4.3685800453307352E-3</v>
      </c>
      <c r="M8" s="7">
        <f>$B8 * IFERROR(VLOOKUP("industry|SO2|Asthma symptoms wheeze", US_national_yearly!$D:$AM, 21, FALSE) / VLOOKUP("industry|SO2|Asthma symptoms wheeze", US_national_yearly!$D:$AM, 10, FALSE), 1)</f>
        <v>4.3685800453307352E-3</v>
      </c>
      <c r="N8" s="7">
        <f>$B8 * IFERROR(VLOOKUP("industry|SO2|Asthma symptoms wheeze", US_national_yearly!$D:$AM, 22, FALSE) / VLOOKUP("industry|SO2|Asthma symptoms wheeze", US_national_yearly!$D:$AM, 10, FALSE), 1)</f>
        <v>4.3685800453307352E-3</v>
      </c>
      <c r="O8" s="7">
        <f>$B8 * IFERROR(VLOOKUP("industry|SO2|Asthma symptoms wheeze", US_national_yearly!$D:$AM, 23, FALSE) / VLOOKUP("industry|SO2|Asthma symptoms wheeze", US_national_yearly!$D:$AM, 10, FALSE), 1)</f>
        <v>4.3685800453307352E-3</v>
      </c>
      <c r="P8" s="7">
        <f>$B8 * IFERROR(VLOOKUP("industry|SO2|Asthma symptoms wheeze", US_national_yearly!$D:$AM, 24, FALSE) / VLOOKUP("industry|SO2|Asthma symptoms wheeze", US_national_yearly!$D:$AM, 10, FALSE), 1)</f>
        <v>4.3685800453307352E-3</v>
      </c>
      <c r="Q8" s="7">
        <f>$B8 * IFERROR(VLOOKUP("industry|SO2|Asthma symptoms wheeze", US_national_yearly!$D:$AM, 25, FALSE) / VLOOKUP("industry|SO2|Asthma symptoms wheeze", US_national_yearly!$D:$AM, 10, FALSE), 1)</f>
        <v>4.3685800453307352E-3</v>
      </c>
      <c r="R8" s="7">
        <f>$B8 * IFERROR(VLOOKUP("industry|SO2|Asthma symptoms wheeze", US_national_yearly!$D:$AM, 26, FALSE) / VLOOKUP("industry|SO2|Asthma symptoms wheeze", US_national_yearly!$D:$AM, 10, FALSE), 1)</f>
        <v>4.3685800453307352E-3</v>
      </c>
      <c r="S8" s="7">
        <f>$B8 * IFERROR(VLOOKUP("industry|SO2|Asthma symptoms wheeze", US_national_yearly!$D:$AM, 27, FALSE) / VLOOKUP("industry|SO2|Asthma symptoms wheeze", US_national_yearly!$D:$AM, 10, FALSE), 1)</f>
        <v>4.3685800453307352E-3</v>
      </c>
      <c r="T8" s="7">
        <f>$B8 * IFERROR(VLOOKUP("industry|SO2|Asthma symptoms wheeze", US_national_yearly!$D:$AM, 28, FALSE) / VLOOKUP("industry|SO2|Asthma symptoms wheeze", US_national_yearly!$D:$AM, 10, FALSE), 1)</f>
        <v>4.3685800453307352E-3</v>
      </c>
      <c r="U8" s="7">
        <f>$B8 * IFERROR(VLOOKUP("industry|SO2|Asthma symptoms wheeze", US_national_yearly!$D:$AM, 29, FALSE) / VLOOKUP("industry|SO2|Asthma symptoms wheeze", US_national_yearly!$D:$AM, 10, FALSE), 1)</f>
        <v>4.3685800453307352E-3</v>
      </c>
      <c r="V8" s="7">
        <f>$B8 * IFERROR(VLOOKUP("industry|SO2|Asthma symptoms wheeze", US_national_yearly!$D:$AM, 30, FALSE) / VLOOKUP("industry|SO2|Asthma symptoms wheeze", US_national_yearly!$D:$AM, 10, FALSE), 1)</f>
        <v>4.3685800453307352E-3</v>
      </c>
      <c r="W8" s="7">
        <f>$B8 * IFERROR(VLOOKUP("industry|SO2|Asthma symptoms wheeze", US_national_yearly!$D:$AM, 31, FALSE) / VLOOKUP("industry|SO2|Asthma symptoms wheeze", US_national_yearly!$D:$AM, 10, FALSE), 1)</f>
        <v>4.3685800453307352E-3</v>
      </c>
      <c r="X8" s="7">
        <f>$B8 * IFERROR(VLOOKUP("industry|SO2|Asthma symptoms wheeze", US_national_yearly!$D:$AM, 32, FALSE) / VLOOKUP("industry|SO2|Asthma symptoms wheeze", US_national_yearly!$D:$AM, 10, FALSE), 1)</f>
        <v>4.3685800453307352E-3</v>
      </c>
      <c r="Y8" s="7">
        <f>$B8 * IFERROR(VLOOKUP("industry|SO2|Asthma symptoms wheeze", US_national_yearly!$D:$AM, 33, FALSE) / VLOOKUP("industry|SO2|Asthma symptoms wheeze", US_national_yearly!$D:$AM, 10, FALSE), 1)</f>
        <v>4.3685800453307352E-3</v>
      </c>
      <c r="Z8" s="7">
        <f>$B8 * IFERROR(VLOOKUP("industry|SO2|Asthma symptoms wheeze", US_national_yearly!$D:$AM, 34, FALSE) / VLOOKUP("industry|SO2|Asthma symptoms wheeze", US_national_yearly!$D:$AM, 10, FALSE), 1)</f>
        <v>4.3685800453307352E-3</v>
      </c>
      <c r="AA8" s="7">
        <f>$B8 * IFERROR(VLOOKUP("industry|SO2|Asthma symptoms wheeze", US_national_yearly!$D:$AM, 35, FALSE) / VLOOKUP("industry|SO2|Asthma symptoms wheeze", US_national_yearly!$D:$AM, 10, FALSE), 1)</f>
        <v>4.3685800453307352E-3</v>
      </c>
      <c r="AB8" s="7">
        <f>$B8 * IFERROR(VLOOKUP("industry|SO2|Asthma symptoms wheeze", US_national_yearly!$D:$AM, 36, FALSE) / VLOOKUP("industry|SO2|Asthma symptoms wheeze", US_national_yearly!$D:$AM, 10, FALSE), 1)</f>
        <v>4.3685800453307352E-3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7.0453084494846393E-5</v>
      </c>
      <c r="C12" s="7">
        <f>$B12 * IFERROR(VLOOKUP("industry|SO2|Respiratory hospital admissions", US_national_yearly!$D:$AM, 11, FALSE) / VLOOKUP("industry|SO2|Respiratory hospital admissions", US_national_yearly!$D:$AM, 10, FALSE), 1)</f>
        <v>7.0865805071413716E-5</v>
      </c>
      <c r="D12" s="7">
        <f>$B12 * IFERROR(VLOOKUP("industry|SO2|Respiratory hospital admissions", US_national_yearly!$D:$AM, 12, FALSE) / VLOOKUP("industry|SO2|Respiratory hospital admissions", US_national_yearly!$D:$AM, 10, FALSE), 1)</f>
        <v>7.1278525647981052E-5</v>
      </c>
      <c r="E12" s="7">
        <f>$B12 * IFERROR(VLOOKUP("industry|SO2|Respiratory hospital admissions", US_national_yearly!$D:$AM, 13, FALSE) / VLOOKUP("industry|SO2|Respiratory hospital admissions", US_national_yearly!$D:$AM, 10, FALSE), 1)</f>
        <v>7.1691246224548375E-5</v>
      </c>
      <c r="F12" s="7">
        <f>$B12 * IFERROR(VLOOKUP("industry|SO2|Respiratory hospital admissions", US_national_yearly!$D:$AM, 14, FALSE) / VLOOKUP("industry|SO2|Respiratory hospital admissions", US_national_yearly!$D:$AM, 10, FALSE), 1)</f>
        <v>7.2103966801115725E-5</v>
      </c>
      <c r="G12" s="7">
        <f>$B12 * IFERROR(VLOOKUP("industry|SO2|Respiratory hospital admissions", US_national_yearly!$D:$AM, 15, FALSE) / VLOOKUP("industry|SO2|Respiratory hospital admissions", US_national_yearly!$D:$AM, 10, FALSE), 1)</f>
        <v>7.255391206714259E-5</v>
      </c>
      <c r="H12" s="7">
        <f>$B12 * IFERROR(VLOOKUP("industry|SO2|Respiratory hospital admissions", US_national_yearly!$D:$AM, 16, FALSE) / VLOOKUP("industry|SO2|Respiratory hospital admissions", US_national_yearly!$D:$AM, 10, FALSE), 1)</f>
        <v>7.3003857333169456E-5</v>
      </c>
      <c r="I12" s="7">
        <f>$B12 * IFERROR(VLOOKUP("industry|SO2|Respiratory hospital admissions", US_national_yearly!$D:$AM, 17, FALSE) / VLOOKUP("industry|SO2|Respiratory hospital admissions", US_national_yearly!$D:$AM, 10, FALSE), 1)</f>
        <v>7.3445777362437752E-5</v>
      </c>
      <c r="J12" s="7">
        <f>$B12 * IFERROR(VLOOKUP("industry|SO2|Respiratory hospital admissions", US_national_yearly!$D:$AM, 18, FALSE) / VLOOKUP("industry|SO2|Respiratory hospital admissions", US_national_yearly!$D:$AM, 10, FALSE), 1)</f>
        <v>7.3887697391706049E-5</v>
      </c>
      <c r="K12" s="7">
        <f>$B12 * IFERROR(VLOOKUP("industry|SO2|Respiratory hospital admissions", US_national_yearly!$D:$AM, 19, FALSE) / VLOOKUP("industry|SO2|Respiratory hospital admissions", US_national_yearly!$D:$AM, 10, FALSE), 1)</f>
        <v>7.4329617420974332E-5</v>
      </c>
      <c r="L12" s="7">
        <f>$B12 * IFERROR(VLOOKUP("industry|SO2|Respiratory hospital admissions", US_national_yearly!$D:$AM, 20, FALSE) / VLOOKUP("industry|SO2|Respiratory hospital admissions", US_national_yearly!$D:$AM, 10, FALSE), 1)</f>
        <v>7.4771537450242642E-5</v>
      </c>
      <c r="M12" s="7">
        <f>$B12 * IFERROR(VLOOKUP("industry|SO2|Respiratory hospital admissions", US_national_yearly!$D:$AM, 21, FALSE) / VLOOKUP("industry|SO2|Respiratory hospital admissions", US_national_yearly!$D:$AM, 10, FALSE), 1)</f>
        <v>7.5213457479510938E-5</v>
      </c>
      <c r="N12" s="7">
        <f>$B12 * IFERROR(VLOOKUP("industry|SO2|Respiratory hospital admissions", US_national_yearly!$D:$AM, 22, FALSE) / VLOOKUP("industry|SO2|Respiratory hospital admissions", US_national_yearly!$D:$AM, 10, FALSE), 1)</f>
        <v>7.553323703277154E-5</v>
      </c>
      <c r="O12" s="7">
        <f>$B12 * IFERROR(VLOOKUP("industry|SO2|Respiratory hospital admissions", US_national_yearly!$D:$AM, 23, FALSE) / VLOOKUP("industry|SO2|Respiratory hospital admissions", US_national_yearly!$D:$AM, 10, FALSE), 1)</f>
        <v>7.5853016586032129E-5</v>
      </c>
      <c r="P12" s="7">
        <f>$B12 * IFERROR(VLOOKUP("industry|SO2|Respiratory hospital admissions", US_national_yearly!$D:$AM, 24, FALSE) / VLOOKUP("industry|SO2|Respiratory hospital admissions", US_national_yearly!$D:$AM, 10, FALSE), 1)</f>
        <v>7.6172796139292718E-5</v>
      </c>
      <c r="Q12" s="7">
        <f>$B12 * IFERROR(VLOOKUP("industry|SO2|Respiratory hospital admissions", US_national_yearly!$D:$AM, 25, FALSE) / VLOOKUP("industry|SO2|Respiratory hospital admissions", US_national_yearly!$D:$AM, 10, FALSE), 1)</f>
        <v>7.649257569255332E-5</v>
      </c>
      <c r="R12" s="7">
        <f>$B12 * IFERROR(VLOOKUP("industry|SO2|Respiratory hospital admissions", US_national_yearly!$D:$AM, 26, FALSE) / VLOOKUP("industry|SO2|Respiratory hospital admissions", US_national_yearly!$D:$AM, 10, FALSE), 1)</f>
        <v>7.6812355245813895E-5</v>
      </c>
      <c r="S12" s="7">
        <f>$B12 * IFERROR(VLOOKUP("industry|SO2|Respiratory hospital admissions", US_national_yearly!$D:$AM, 27, FALSE) / VLOOKUP("industry|SO2|Respiratory hospital admissions", US_national_yearly!$D:$AM, 10, FALSE), 1)</f>
        <v>7.711625683047705E-5</v>
      </c>
      <c r="T12" s="7">
        <f>$B12 * IFERROR(VLOOKUP("industry|SO2|Respiratory hospital admissions", US_national_yearly!$D:$AM, 28, FALSE) / VLOOKUP("industry|SO2|Respiratory hospital admissions", US_national_yearly!$D:$AM, 10, FALSE), 1)</f>
        <v>7.7420158415140192E-5</v>
      </c>
      <c r="U12" s="7">
        <f>$B12 * IFERROR(VLOOKUP("industry|SO2|Respiratory hospital admissions", US_national_yearly!$D:$AM, 29, FALSE) / VLOOKUP("industry|SO2|Respiratory hospital admissions", US_national_yearly!$D:$AM, 10, FALSE), 1)</f>
        <v>7.7724059999803333E-5</v>
      </c>
      <c r="V12" s="7">
        <f>$B12 * IFERROR(VLOOKUP("industry|SO2|Respiratory hospital admissions", US_national_yearly!$D:$AM, 30, FALSE) / VLOOKUP("industry|SO2|Respiratory hospital admissions", US_national_yearly!$D:$AM, 10, FALSE), 1)</f>
        <v>7.8027961584466488E-5</v>
      </c>
      <c r="W12" s="7">
        <f>$B12 * IFERROR(VLOOKUP("industry|SO2|Respiratory hospital admissions", US_national_yearly!$D:$AM, 31, FALSE) / VLOOKUP("industry|SO2|Respiratory hospital admissions", US_national_yearly!$D:$AM, 10, FALSE), 1)</f>
        <v>7.8331863169129617E-5</v>
      </c>
      <c r="X12" s="7">
        <f>$B12 * IFERROR(VLOOKUP("industry|SO2|Respiratory hospital admissions", US_national_yearly!$D:$AM, 32, FALSE) / VLOOKUP("industry|SO2|Respiratory hospital admissions", US_national_yearly!$D:$AM, 10, FALSE), 1)</f>
        <v>7.8620452679101116E-5</v>
      </c>
      <c r="Y12" s="7">
        <f>$B12 * IFERROR(VLOOKUP("industry|SO2|Respiratory hospital admissions", US_national_yearly!$D:$AM, 33, FALSE) / VLOOKUP("industry|SO2|Respiratory hospital admissions", US_national_yearly!$D:$AM, 10, FALSE), 1)</f>
        <v>7.8909042189072615E-5</v>
      </c>
      <c r="Z12" s="7">
        <f>$B12 * IFERROR(VLOOKUP("industry|SO2|Respiratory hospital admissions", US_national_yearly!$D:$AM, 34, FALSE) / VLOOKUP("industry|SO2|Respiratory hospital admissions", US_national_yearly!$D:$AM, 10, FALSE), 1)</f>
        <v>7.9197631699044115E-5</v>
      </c>
      <c r="AA12" s="7">
        <f>$B12 * IFERROR(VLOOKUP("industry|SO2|Respiratory hospital admissions", US_national_yearly!$D:$AM, 35, FALSE) / VLOOKUP("industry|SO2|Respiratory hospital admissions", US_national_yearly!$D:$AM, 10, FALSE), 1)</f>
        <v>7.9486221209015601E-5</v>
      </c>
      <c r="AB12" s="7">
        <f>$B12 * IFERROR(VLOOKUP("industry|SO2|Respiratory hospital admissions", US_national_yearly!$D:$AM, 36, FALSE) / VLOOKUP("industry|SO2|Respiratory hospital admissions", US_national_yearly!$D:$AM, 10, FALSE), 1)</f>
        <v>7.9774810718987113E-5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3.3888165294628409E-4</v>
      </c>
      <c r="C13" s="7">
        <f>$B13 * IFERROR(VLOOKUP("industry|SO2|Non-fatal heart attacks", US_national_yearly!$D:$AM, 11, FALSE) / VLOOKUP("industry|SO2|Non-fatal heart attacks", US_national_yearly!$D:$AM, 10, FALSE), 1)</f>
        <v>3.4882994749243178E-4</v>
      </c>
      <c r="D13" s="7">
        <f>$B13 * IFERROR(VLOOKUP("industry|SO2|Non-fatal heart attacks", US_national_yearly!$D:$AM, 12, FALSE) / VLOOKUP("industry|SO2|Non-fatal heart attacks", US_national_yearly!$D:$AM, 10, FALSE), 1)</f>
        <v>3.5877824203857942E-4</v>
      </c>
      <c r="E13" s="7">
        <f>$B13 * IFERROR(VLOOKUP("industry|SO2|Non-fatal heart attacks", US_national_yearly!$D:$AM, 13, FALSE) / VLOOKUP("industry|SO2|Non-fatal heart attacks", US_national_yearly!$D:$AM, 10, FALSE), 1)</f>
        <v>3.6872653658472706E-4</v>
      </c>
      <c r="F13" s="7">
        <f>$B13 * IFERROR(VLOOKUP("industry|SO2|Non-fatal heart attacks", US_national_yearly!$D:$AM, 14, FALSE) / VLOOKUP("industry|SO2|Non-fatal heart attacks", US_national_yearly!$D:$AM, 10, FALSE), 1)</f>
        <v>3.786748311308748E-4</v>
      </c>
      <c r="G13" s="7">
        <f>$B13 * IFERROR(VLOOKUP("industry|SO2|Non-fatal heart attacks", US_national_yearly!$D:$AM, 15, FALSE) / VLOOKUP("industry|SO2|Non-fatal heart attacks", US_national_yearly!$D:$AM, 10, FALSE), 1)</f>
        <v>3.8806323428608415E-4</v>
      </c>
      <c r="H13" s="7">
        <f>$B13 * IFERROR(VLOOKUP("industry|SO2|Non-fatal heart attacks", US_national_yearly!$D:$AM, 16, FALSE) / VLOOKUP("industry|SO2|Non-fatal heart attacks", US_national_yearly!$D:$AM, 10, FALSE), 1)</f>
        <v>3.9745163744129354E-4</v>
      </c>
      <c r="I13" s="7">
        <f>$B13 * IFERROR(VLOOKUP("industry|SO2|Non-fatal heart attacks", US_national_yearly!$D:$AM, 17, FALSE) / VLOOKUP("industry|SO2|Non-fatal heart attacks", US_national_yearly!$D:$AM, 10, FALSE), 1)</f>
        <v>4.0502031546109011E-4</v>
      </c>
      <c r="J13" s="7">
        <f>$B13 * IFERROR(VLOOKUP("industry|SO2|Non-fatal heart attacks", US_national_yearly!$D:$AM, 18, FALSE) / VLOOKUP("industry|SO2|Non-fatal heart attacks", US_national_yearly!$D:$AM, 10, FALSE), 1)</f>
        <v>4.1258899348088683E-4</v>
      </c>
      <c r="K13" s="7">
        <f>$B13 * IFERROR(VLOOKUP("industry|SO2|Non-fatal heart attacks", US_national_yearly!$D:$AM, 19, FALSE) / VLOOKUP("industry|SO2|Non-fatal heart attacks", US_national_yearly!$D:$AM, 10, FALSE), 1)</f>
        <v>4.201576715006835E-4</v>
      </c>
      <c r="L13" s="7">
        <f>$B13 * IFERROR(VLOOKUP("industry|SO2|Non-fatal heart attacks", US_national_yearly!$D:$AM, 20, FALSE) / VLOOKUP("industry|SO2|Non-fatal heart attacks", US_national_yearly!$D:$AM, 10, FALSE), 1)</f>
        <v>4.2772634952048012E-4</v>
      </c>
      <c r="M13" s="7">
        <f>$B13 * IFERROR(VLOOKUP("industry|SO2|Non-fatal heart attacks", US_national_yearly!$D:$AM, 21, FALSE) / VLOOKUP("industry|SO2|Non-fatal heart attacks", US_national_yearly!$D:$AM, 10, FALSE), 1)</f>
        <v>4.3529502754027679E-4</v>
      </c>
      <c r="N13" s="7">
        <f>$B13 * IFERROR(VLOOKUP("industry|SO2|Non-fatal heart attacks", US_national_yearly!$D:$AM, 22, FALSE) / VLOOKUP("industry|SO2|Non-fatal heart attacks", US_national_yearly!$D:$AM, 10, FALSE), 1)</f>
        <v>4.4021204401021772E-4</v>
      </c>
      <c r="O13" s="7">
        <f>$B13 * IFERROR(VLOOKUP("industry|SO2|Non-fatal heart attacks", US_national_yearly!$D:$AM, 23, FALSE) / VLOOKUP("industry|SO2|Non-fatal heart attacks", US_national_yearly!$D:$AM, 10, FALSE), 1)</f>
        <v>4.4512906048015875E-4</v>
      </c>
      <c r="P13" s="7">
        <f>$B13 * IFERROR(VLOOKUP("industry|SO2|Non-fatal heart attacks", US_national_yearly!$D:$AM, 24, FALSE) / VLOOKUP("industry|SO2|Non-fatal heart attacks", US_national_yearly!$D:$AM, 10, FALSE), 1)</f>
        <v>4.5004607695009967E-4</v>
      </c>
      <c r="Q13" s="7">
        <f>$B13 * IFERROR(VLOOKUP("industry|SO2|Non-fatal heart attacks", US_national_yearly!$D:$AM, 25, FALSE) / VLOOKUP("industry|SO2|Non-fatal heart attacks", US_national_yearly!$D:$AM, 10, FALSE), 1)</f>
        <v>4.549630934200406E-4</v>
      </c>
      <c r="R13" s="7">
        <f>$B13 * IFERROR(VLOOKUP("industry|SO2|Non-fatal heart attacks", US_national_yearly!$D:$AM, 26, FALSE) / VLOOKUP("industry|SO2|Non-fatal heart attacks", US_national_yearly!$D:$AM, 10, FALSE), 1)</f>
        <v>4.5988010988998158E-4</v>
      </c>
      <c r="S13" s="7">
        <f>$B13 * IFERROR(VLOOKUP("industry|SO2|Non-fatal heart attacks", US_national_yearly!$D:$AM, 27, FALSE) / VLOOKUP("industry|SO2|Non-fatal heart attacks", US_national_yearly!$D:$AM, 10, FALSE), 1)</f>
        <v>4.6246259923472767E-4</v>
      </c>
      <c r="T13" s="7">
        <f>$B13 * IFERROR(VLOOKUP("industry|SO2|Non-fatal heart attacks", US_national_yearly!$D:$AM, 28, FALSE) / VLOOKUP("industry|SO2|Non-fatal heart attacks", US_national_yearly!$D:$AM, 10, FALSE), 1)</f>
        <v>4.6504508857947381E-4</v>
      </c>
      <c r="U13" s="7">
        <f>$B13 * IFERROR(VLOOKUP("industry|SO2|Non-fatal heart attacks", US_national_yearly!$D:$AM, 29, FALSE) / VLOOKUP("industry|SO2|Non-fatal heart attacks", US_national_yearly!$D:$AM, 10, FALSE), 1)</f>
        <v>4.676275779242199E-4</v>
      </c>
      <c r="V13" s="7">
        <f>$B13 * IFERROR(VLOOKUP("industry|SO2|Non-fatal heart attacks", US_national_yearly!$D:$AM, 30, FALSE) / VLOOKUP("industry|SO2|Non-fatal heart attacks", US_national_yearly!$D:$AM, 10, FALSE), 1)</f>
        <v>4.7021006726896599E-4</v>
      </c>
      <c r="W13" s="7">
        <f>$B13 * IFERROR(VLOOKUP("industry|SO2|Non-fatal heart attacks", US_national_yearly!$D:$AM, 31, FALSE) / VLOOKUP("industry|SO2|Non-fatal heart attacks", US_national_yearly!$D:$AM, 10, FALSE), 1)</f>
        <v>4.7279255661371208E-4</v>
      </c>
      <c r="X13" s="7">
        <f>$B13 * IFERROR(VLOOKUP("industry|SO2|Non-fatal heart attacks", US_national_yearly!$D:$AM, 32, FALSE) / VLOOKUP("industry|SO2|Non-fatal heart attacks", US_national_yearly!$D:$AM, 10, FALSE), 1)</f>
        <v>4.747538827478985E-4</v>
      </c>
      <c r="Y13" s="7">
        <f>$B13 * IFERROR(VLOOKUP("industry|SO2|Non-fatal heart attacks", US_national_yearly!$D:$AM, 33, FALSE) / VLOOKUP("industry|SO2|Non-fatal heart attacks", US_national_yearly!$D:$AM, 10, FALSE), 1)</f>
        <v>4.7671520888208497E-4</v>
      </c>
      <c r="Z13" s="7">
        <f>$B13 * IFERROR(VLOOKUP("industry|SO2|Non-fatal heart attacks", US_national_yearly!$D:$AM, 34, FALSE) / VLOOKUP("industry|SO2|Non-fatal heart attacks", US_national_yearly!$D:$AM, 10, FALSE), 1)</f>
        <v>4.7867653501627145E-4</v>
      </c>
      <c r="AA13" s="7">
        <f>$B13 * IFERROR(VLOOKUP("industry|SO2|Non-fatal heart attacks", US_national_yearly!$D:$AM, 35, FALSE) / VLOOKUP("industry|SO2|Non-fatal heart attacks", US_national_yearly!$D:$AM, 10, FALSE), 1)</f>
        <v>4.8063786115045798E-4</v>
      </c>
      <c r="AB13" s="7">
        <f>$B13 * IFERROR(VLOOKUP("industry|SO2|Non-fatal heart attacks", US_national_yearly!$D:$AM, 36, FALSE) / VLOOKUP("industry|SO2|Non-fatal heart attacks", US_national_yearly!$D:$AM, 10, FALSE), 1)</f>
        <v>4.825991872846444E-4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0.2250177699874292</v>
      </c>
      <c r="C14" s="7">
        <f>$B14 * IFERROR(VLOOKUP("industry|SO2|Minor restricted activity days", US_national_yearly!$D:$AM, 11, FALSE) / VLOOKUP("industry|SO2|Minor restricted activity days", US_national_yearly!$D:$AM, 10, FALSE), 1)</f>
        <v>0.22558062697238013</v>
      </c>
      <c r="D14" s="7">
        <f>$B14 * IFERROR(VLOOKUP("industry|SO2|Minor restricted activity days", US_national_yearly!$D:$AM, 12, FALSE) / VLOOKUP("industry|SO2|Minor restricted activity days", US_national_yearly!$D:$AM, 10, FALSE), 1)</f>
        <v>0.226143483957331</v>
      </c>
      <c r="E14" s="7">
        <f>$B14 * IFERROR(VLOOKUP("industry|SO2|Minor restricted activity days", US_national_yearly!$D:$AM, 13, FALSE) / VLOOKUP("industry|SO2|Minor restricted activity days", US_national_yearly!$D:$AM, 10, FALSE), 1)</f>
        <v>0.22670634094228193</v>
      </c>
      <c r="F14" s="7">
        <f>$B14 * IFERROR(VLOOKUP("industry|SO2|Minor restricted activity days", US_national_yearly!$D:$AM, 14, FALSE) / VLOOKUP("industry|SO2|Minor restricted activity days", US_national_yearly!$D:$AM, 10, FALSE), 1)</f>
        <v>0.22726919792723285</v>
      </c>
      <c r="G14" s="7">
        <f>$B14 * IFERROR(VLOOKUP("industry|SO2|Minor restricted activity days", US_national_yearly!$D:$AM, 15, FALSE) / VLOOKUP("industry|SO2|Minor restricted activity days", US_national_yearly!$D:$AM, 10, FALSE), 1)</f>
        <v>0.22809721418521051</v>
      </c>
      <c r="H14" s="7">
        <f>$B14 * IFERROR(VLOOKUP("industry|SO2|Minor restricted activity days", US_national_yearly!$D:$AM, 16, FALSE) / VLOOKUP("industry|SO2|Minor restricted activity days", US_national_yearly!$D:$AM, 10, FALSE), 1)</f>
        <v>0.2289252304431881</v>
      </c>
      <c r="I14" s="7">
        <f>$B14 * IFERROR(VLOOKUP("industry|SO2|Minor restricted activity days", US_national_yearly!$D:$AM, 17, FALSE) / VLOOKUP("industry|SO2|Minor restricted activity days", US_national_yearly!$D:$AM, 10, FALSE), 1)</f>
        <v>0.2303372486190742</v>
      </c>
      <c r="J14" s="7">
        <f>$B14 * IFERROR(VLOOKUP("industry|SO2|Minor restricted activity days", US_national_yearly!$D:$AM, 18, FALSE) / VLOOKUP("industry|SO2|Minor restricted activity days", US_national_yearly!$D:$AM, 10, FALSE), 1)</f>
        <v>0.23174926679496027</v>
      </c>
      <c r="K14" s="7">
        <f>$B14 * IFERROR(VLOOKUP("industry|SO2|Minor restricted activity days", US_national_yearly!$D:$AM, 19, FALSE) / VLOOKUP("industry|SO2|Minor restricted activity days", US_national_yearly!$D:$AM, 10, FALSE), 1)</f>
        <v>0.23316128497084637</v>
      </c>
      <c r="L14" s="7">
        <f>$B14 * IFERROR(VLOOKUP("industry|SO2|Minor restricted activity days", US_national_yearly!$D:$AM, 20, FALSE) / VLOOKUP("industry|SO2|Minor restricted activity days", US_national_yearly!$D:$AM, 10, FALSE), 1)</f>
        <v>0.23457330314673247</v>
      </c>
      <c r="M14" s="7">
        <f>$B14 * IFERROR(VLOOKUP("industry|SO2|Minor restricted activity days", US_national_yearly!$D:$AM, 21, FALSE) / VLOOKUP("industry|SO2|Minor restricted activity days", US_national_yearly!$D:$AM, 10, FALSE), 1)</f>
        <v>0.23598532132261857</v>
      </c>
      <c r="N14" s="7">
        <f>$B14 * IFERROR(VLOOKUP("industry|SO2|Minor restricted activity days", US_national_yearly!$D:$AM, 22, FALSE) / VLOOKUP("industry|SO2|Minor restricted activity days", US_national_yearly!$D:$AM, 10, FALSE), 1)</f>
        <v>0.23792136806125661</v>
      </c>
      <c r="O14" s="7">
        <f>$B14 * IFERROR(VLOOKUP("industry|SO2|Minor restricted activity days", US_national_yearly!$D:$AM, 23, FALSE) / VLOOKUP("industry|SO2|Minor restricted activity days", US_national_yearly!$D:$AM, 10, FALSE), 1)</f>
        <v>0.23985741479989467</v>
      </c>
      <c r="P14" s="7">
        <f>$B14 * IFERROR(VLOOKUP("industry|SO2|Minor restricted activity days", US_national_yearly!$D:$AM, 24, FALSE) / VLOOKUP("industry|SO2|Minor restricted activity days", US_national_yearly!$D:$AM, 10, FALSE), 1)</f>
        <v>0.24179346153853273</v>
      </c>
      <c r="Q14" s="7">
        <f>$B14 * IFERROR(VLOOKUP("industry|SO2|Minor restricted activity days", US_national_yearly!$D:$AM, 25, FALSE) / VLOOKUP("industry|SO2|Minor restricted activity days", US_national_yearly!$D:$AM, 10, FALSE), 1)</f>
        <v>0.24372950827717083</v>
      </c>
      <c r="R14" s="7">
        <f>$B14 * IFERROR(VLOOKUP("industry|SO2|Minor restricted activity days", US_national_yearly!$D:$AM, 26, FALSE) / VLOOKUP("industry|SO2|Minor restricted activity days", US_national_yearly!$D:$AM, 10, FALSE), 1)</f>
        <v>0.24566555501580889</v>
      </c>
      <c r="S14" s="7">
        <f>$B14 * IFERROR(VLOOKUP("industry|SO2|Minor restricted activity days", US_national_yearly!$D:$AM, 27, FALSE) / VLOOKUP("industry|SO2|Minor restricted activity days", US_national_yearly!$D:$AM, 10, FALSE), 1)</f>
        <v>0.24764144707156485</v>
      </c>
      <c r="T14" s="7">
        <f>$B14 * IFERROR(VLOOKUP("industry|SO2|Minor restricted activity days", US_national_yearly!$D:$AM, 28, FALSE) / VLOOKUP("industry|SO2|Minor restricted activity days", US_national_yearly!$D:$AM, 10, FALSE), 1)</f>
        <v>0.2496173391273209</v>
      </c>
      <c r="U14" s="7">
        <f>$B14 * IFERROR(VLOOKUP("industry|SO2|Minor restricted activity days", US_national_yearly!$D:$AM, 29, FALSE) / VLOOKUP("industry|SO2|Minor restricted activity days", US_national_yearly!$D:$AM, 10, FALSE), 1)</f>
        <v>0.25159323118307686</v>
      </c>
      <c r="V14" s="7">
        <f>$B14 * IFERROR(VLOOKUP("industry|SO2|Minor restricted activity days", US_national_yearly!$D:$AM, 30, FALSE) / VLOOKUP("industry|SO2|Minor restricted activity days", US_national_yearly!$D:$AM, 10, FALSE), 1)</f>
        <v>0.25356912323883291</v>
      </c>
      <c r="W14" s="7">
        <f>$B14 * IFERROR(VLOOKUP("industry|SO2|Minor restricted activity days", US_national_yearly!$D:$AM, 31, FALSE) / VLOOKUP("industry|SO2|Minor restricted activity days", US_national_yearly!$D:$AM, 10, FALSE), 1)</f>
        <v>0.2555450152945889</v>
      </c>
      <c r="X14" s="7">
        <f>$B14 * IFERROR(VLOOKUP("industry|SO2|Minor restricted activity days", US_national_yearly!$D:$AM, 32, FALSE) / VLOOKUP("industry|SO2|Minor restricted activity days", US_national_yearly!$D:$AM, 10, FALSE), 1)</f>
        <v>0.25728240158434296</v>
      </c>
      <c r="Y14" s="7">
        <f>$B14 * IFERROR(VLOOKUP("industry|SO2|Minor restricted activity days", US_national_yearly!$D:$AM, 33, FALSE) / VLOOKUP("industry|SO2|Minor restricted activity days", US_national_yearly!$D:$AM, 10, FALSE), 1)</f>
        <v>0.25901978787409696</v>
      </c>
      <c r="Z14" s="7">
        <f>$B14 * IFERROR(VLOOKUP("industry|SO2|Minor restricted activity days", US_national_yearly!$D:$AM, 34, FALSE) / VLOOKUP("industry|SO2|Minor restricted activity days", US_national_yearly!$D:$AM, 10, FALSE), 1)</f>
        <v>0.26075717416385102</v>
      </c>
      <c r="AA14" s="7">
        <f>$B14 * IFERROR(VLOOKUP("industry|SO2|Minor restricted activity days", US_national_yearly!$D:$AM, 35, FALSE) / VLOOKUP("industry|SO2|Minor restricted activity days", US_national_yearly!$D:$AM, 10, FALSE), 1)</f>
        <v>0.26249456045360503</v>
      </c>
      <c r="AB14" s="7">
        <f>$B14 * IFERROR(VLOOKUP("industry|SO2|Minor restricted activity days", US_national_yearly!$D:$AM, 36, FALSE) / VLOOKUP("industry|SO2|Minor restricted activity days", US_national_yearly!$D:$AM, 10, FALSE), 1)</f>
        <v>0.26423194674335909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3.8120435513812619E-2</v>
      </c>
      <c r="C15" s="7">
        <f>$B15 * IFERROR(VLOOKUP("industry|SO2|Work loss days", US_national_yearly!$D:$AM, 11, FALSE) / VLOOKUP("industry|SO2|Work loss days", US_national_yearly!$D:$AM, 10, FALSE), 1)</f>
        <v>3.8243026527697531E-2</v>
      </c>
      <c r="D15" s="7">
        <f>$B15 * IFERROR(VLOOKUP("industry|SO2|Work loss days", US_national_yearly!$D:$AM, 12, FALSE) / VLOOKUP("industry|SO2|Work loss days", US_national_yearly!$D:$AM, 10, FALSE), 1)</f>
        <v>3.8365617541582457E-2</v>
      </c>
      <c r="E15" s="7">
        <f>$B15 * IFERROR(VLOOKUP("industry|SO2|Work loss days", US_national_yearly!$D:$AM, 13, FALSE) / VLOOKUP("industry|SO2|Work loss days", US_national_yearly!$D:$AM, 10, FALSE), 1)</f>
        <v>3.8488208555467363E-2</v>
      </c>
      <c r="F15" s="7">
        <f>$B15 * IFERROR(VLOOKUP("industry|SO2|Work loss days", US_national_yearly!$D:$AM, 14, FALSE) / VLOOKUP("industry|SO2|Work loss days", US_national_yearly!$D:$AM, 10, FALSE), 1)</f>
        <v>3.8610799569352289E-2</v>
      </c>
      <c r="G15" s="7">
        <f>$B15 * IFERROR(VLOOKUP("industry|SO2|Work loss days", US_national_yearly!$D:$AM, 15, FALSE) / VLOOKUP("industry|SO2|Work loss days", US_national_yearly!$D:$AM, 10, FALSE), 1)</f>
        <v>3.8770813971248118E-2</v>
      </c>
      <c r="H15" s="7">
        <f>$B15 * IFERROR(VLOOKUP("industry|SO2|Work loss days", US_national_yearly!$D:$AM, 16, FALSE) / VLOOKUP("industry|SO2|Work loss days", US_national_yearly!$D:$AM, 10, FALSE), 1)</f>
        <v>3.8930828373143954E-2</v>
      </c>
      <c r="I15" s="7">
        <f>$B15 * IFERROR(VLOOKUP("industry|SO2|Work loss days", US_national_yearly!$D:$AM, 17, FALSE) / VLOOKUP("industry|SO2|Work loss days", US_national_yearly!$D:$AM, 10, FALSE), 1)</f>
        <v>3.916472433891835E-2</v>
      </c>
      <c r="J15" s="7">
        <f>$B15 * IFERROR(VLOOKUP("industry|SO2|Work loss days", US_national_yearly!$D:$AM, 18, FALSE) / VLOOKUP("industry|SO2|Work loss days", US_national_yearly!$D:$AM, 10, FALSE), 1)</f>
        <v>3.9398620304692739E-2</v>
      </c>
      <c r="K15" s="7">
        <f>$B15 * IFERROR(VLOOKUP("industry|SO2|Work loss days", US_national_yearly!$D:$AM, 19, FALSE) / VLOOKUP("industry|SO2|Work loss days", US_national_yearly!$D:$AM, 10, FALSE), 1)</f>
        <v>3.9632516270467127E-2</v>
      </c>
      <c r="L15" s="7">
        <f>$B15 * IFERROR(VLOOKUP("industry|SO2|Work loss days", US_national_yearly!$D:$AM, 20, FALSE) / VLOOKUP("industry|SO2|Work loss days", US_national_yearly!$D:$AM, 10, FALSE), 1)</f>
        <v>3.9866412236241523E-2</v>
      </c>
      <c r="M15" s="7">
        <f>$B15 * IFERROR(VLOOKUP("industry|SO2|Work loss days", US_national_yearly!$D:$AM, 21, FALSE) / VLOOKUP("industry|SO2|Work loss days", US_national_yearly!$D:$AM, 10, FALSE), 1)</f>
        <v>4.0100308202015912E-2</v>
      </c>
      <c r="N15" s="7">
        <f>$B15 * IFERROR(VLOOKUP("industry|SO2|Work loss days", US_national_yearly!$D:$AM, 22, FALSE) / VLOOKUP("industry|SO2|Work loss days", US_national_yearly!$D:$AM, 10, FALSE), 1)</f>
        <v>4.0394280996986331E-2</v>
      </c>
      <c r="O15" s="7">
        <f>$B15 * IFERROR(VLOOKUP("industry|SO2|Work loss days", US_national_yearly!$D:$AM, 23, FALSE) / VLOOKUP("industry|SO2|Work loss days", US_national_yearly!$D:$AM, 10, FALSE), 1)</f>
        <v>4.0688253791956751E-2</v>
      </c>
      <c r="P15" s="7">
        <f>$B15 * IFERROR(VLOOKUP("industry|SO2|Work loss days", US_national_yearly!$D:$AM, 24, FALSE) / VLOOKUP("industry|SO2|Work loss days", US_national_yearly!$D:$AM, 10, FALSE), 1)</f>
        <v>4.0982226586927177E-2</v>
      </c>
      <c r="Q15" s="7">
        <f>$B15 * IFERROR(VLOOKUP("industry|SO2|Work loss days", US_national_yearly!$D:$AM, 25, FALSE) / VLOOKUP("industry|SO2|Work loss days", US_national_yearly!$D:$AM, 10, FALSE), 1)</f>
        <v>4.1276199381897596E-2</v>
      </c>
      <c r="R15" s="7">
        <f>$B15 * IFERROR(VLOOKUP("industry|SO2|Work loss days", US_national_yearly!$D:$AM, 26, FALSE) / VLOOKUP("industry|SO2|Work loss days", US_national_yearly!$D:$AM, 10, FALSE), 1)</f>
        <v>4.1570172176868023E-2</v>
      </c>
      <c r="S15" s="7">
        <f>$B15 * IFERROR(VLOOKUP("industry|SO2|Work loss days", US_national_yearly!$D:$AM, 27, FALSE) / VLOOKUP("industry|SO2|Work loss days", US_national_yearly!$D:$AM, 10, FALSE), 1)</f>
        <v>4.1899115619050971E-2</v>
      </c>
      <c r="T15" s="7">
        <f>$B15 * IFERROR(VLOOKUP("industry|SO2|Work loss days", US_national_yearly!$D:$AM, 28, FALSE) / VLOOKUP("industry|SO2|Work loss days", US_national_yearly!$D:$AM, 10, FALSE), 1)</f>
        <v>4.2228059061233926E-2</v>
      </c>
      <c r="U15" s="7">
        <f>$B15 * IFERROR(VLOOKUP("industry|SO2|Work loss days", US_national_yearly!$D:$AM, 29, FALSE) / VLOOKUP("industry|SO2|Work loss days", US_national_yearly!$D:$AM, 10, FALSE), 1)</f>
        <v>4.2557002503416895E-2</v>
      </c>
      <c r="V15" s="7">
        <f>$B15 * IFERROR(VLOOKUP("industry|SO2|Work loss days", US_national_yearly!$D:$AM, 30, FALSE) / VLOOKUP("industry|SO2|Work loss days", US_national_yearly!$D:$AM, 10, FALSE), 1)</f>
        <v>4.2885945945599843E-2</v>
      </c>
      <c r="W15" s="7">
        <f>$B15 * IFERROR(VLOOKUP("industry|SO2|Work loss days", US_national_yearly!$D:$AM, 31, FALSE) / VLOOKUP("industry|SO2|Work loss days", US_national_yearly!$D:$AM, 10, FALSE), 1)</f>
        <v>4.3214889387782798E-2</v>
      </c>
      <c r="X15" s="7">
        <f>$B15 * IFERROR(VLOOKUP("industry|SO2|Work loss days", US_national_yearly!$D:$AM, 32, FALSE) / VLOOKUP("industry|SO2|Work loss days", US_national_yearly!$D:$AM, 10, FALSE), 1)</f>
        <v>4.3510337471097074E-2</v>
      </c>
      <c r="Y15" s="7">
        <f>$B15 * IFERROR(VLOOKUP("industry|SO2|Work loss days", US_national_yearly!$D:$AM, 33, FALSE) / VLOOKUP("industry|SO2|Work loss days", US_national_yearly!$D:$AM, 10, FALSE), 1)</f>
        <v>4.3805785554411357E-2</v>
      </c>
      <c r="Z15" s="7">
        <f>$B15 * IFERROR(VLOOKUP("industry|SO2|Work loss days", US_national_yearly!$D:$AM, 34, FALSE) / VLOOKUP("industry|SO2|Work loss days", US_national_yearly!$D:$AM, 10, FALSE), 1)</f>
        <v>4.4101233637725619E-2</v>
      </c>
      <c r="AA15" s="7">
        <f>$B15 * IFERROR(VLOOKUP("industry|SO2|Work loss days", US_national_yearly!$D:$AM, 35, FALSE) / VLOOKUP("industry|SO2|Work loss days", US_national_yearly!$D:$AM, 10, FALSE), 1)</f>
        <v>4.4396681721039902E-2</v>
      </c>
      <c r="AB15" s="7">
        <f>$B15 * IFERROR(VLOOKUP("industry|SO2|Work loss days", US_national_yearly!$D:$AM, 36, FALSE) / VLOOKUP("industry|SO2|Work loss days", US_national_yearly!$D:$AM, 10, FALSE), 1)</f>
        <v>4.4692129804354178E-2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6.5521358676428807E-5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6.7502540874693346E-5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6.9483723072957912E-5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7.1464905271222465E-5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7.3446087469487018E-5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7.5344774609806408E-5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7.7243461750125798E-5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7.8872601801952672E-5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8.0501741853779545E-5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8.2130881905606432E-5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8.3760021957433306E-5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8.5389162009260179E-5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8.6483706606528421E-5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8.7578251203796663E-5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8.8672795801064892E-5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8.9767340398333133E-5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9.0861884995601375E-5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9.1440637744884387E-5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9.2019390494167439E-5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9.259814324345045E-5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9.3176895992733489E-5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9.3755648742016514E-5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9.4147039049482633E-5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9.4538429356948739E-5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9.4929819664414886E-5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9.5321209971881005E-5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9.5712600279347125E-5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3.7532281884812163E-5</v>
      </c>
      <c r="C2" s="7">
        <f>$B2 * IFERROR(VLOOKUP("LULUCF|PM25|Premature mortality", US_national_yearly!$D:$AM, 11, FALSE) / VLOOKUP("LULUCF|PM25|Premature mortality", US_national_yearly!$D:$AM, 10, FALSE), 1)</f>
        <v>3.7997599928708507E-5</v>
      </c>
      <c r="D2" s="7">
        <f>$B2 * IFERROR(VLOOKUP("LULUCF|PM25|Premature mortality", US_national_yearly!$D:$AM, 12, FALSE) / VLOOKUP("LULUCF|PM25|Premature mortality", US_national_yearly!$D:$AM, 10, FALSE), 1)</f>
        <v>3.8462917972604844E-5</v>
      </c>
      <c r="E2" s="7">
        <f>$B2 * IFERROR(VLOOKUP("LULUCF|PM25|Premature mortality", US_national_yearly!$D:$AM, 13, FALSE) / VLOOKUP("LULUCF|PM25|Premature mortality", US_national_yearly!$D:$AM, 10, FALSE), 1)</f>
        <v>3.8928236016501181E-5</v>
      </c>
      <c r="F2" s="7">
        <f>$B2 * IFERROR(VLOOKUP("LULUCF|PM25|Premature mortality", US_national_yearly!$D:$AM, 14, FALSE) / VLOOKUP("LULUCF|PM25|Premature mortality", US_national_yearly!$D:$AM, 10, FALSE), 1)</f>
        <v>3.9393554060397518E-5</v>
      </c>
      <c r="G2" s="7">
        <f>$B2 * IFERROR(VLOOKUP("LULUCF|PM25|Premature mortality", US_national_yearly!$D:$AM, 15, FALSE) / VLOOKUP("LULUCF|PM25|Premature mortality", US_national_yearly!$D:$AM, 10, FALSE), 1)</f>
        <v>4.0299757441540026E-5</v>
      </c>
      <c r="H2" s="7">
        <f>$B2 * IFERROR(VLOOKUP("LULUCF|PM25|Premature mortality", US_national_yearly!$D:$AM, 16, FALSE) / VLOOKUP("LULUCF|PM25|Premature mortality", US_national_yearly!$D:$AM, 10, FALSE), 1)</f>
        <v>4.1205960822682534E-5</v>
      </c>
      <c r="I2" s="7">
        <f>$B2 * IFERROR(VLOOKUP("LULUCF|PM25|Premature mortality", US_national_yearly!$D:$AM, 17, FALSE) / VLOOKUP("LULUCF|PM25|Premature mortality", US_national_yearly!$D:$AM, 10, FALSE), 1)</f>
        <v>4.1801193350170993E-5</v>
      </c>
      <c r="J2" s="7">
        <f>$B2 * IFERROR(VLOOKUP("LULUCF|PM25|Premature mortality", US_national_yearly!$D:$AM, 18, FALSE) / VLOOKUP("LULUCF|PM25|Premature mortality", US_national_yearly!$D:$AM, 10, FALSE), 1)</f>
        <v>4.2396425877659464E-5</v>
      </c>
      <c r="K2" s="7">
        <f>$B2 * IFERROR(VLOOKUP("LULUCF|PM25|Premature mortality", US_national_yearly!$D:$AM, 19, FALSE) / VLOOKUP("LULUCF|PM25|Premature mortality", US_national_yearly!$D:$AM, 10, FALSE), 1)</f>
        <v>4.2991658405147929E-5</v>
      </c>
      <c r="L2" s="7">
        <f>$B2 * IFERROR(VLOOKUP("LULUCF|PM25|Premature mortality", US_national_yearly!$D:$AM, 20, FALSE) / VLOOKUP("LULUCF|PM25|Premature mortality", US_national_yearly!$D:$AM, 10, FALSE), 1)</f>
        <v>4.3586890932636401E-5</v>
      </c>
      <c r="M2" s="7">
        <f>$B2 * IFERROR(VLOOKUP("LULUCF|PM25|Premature mortality", US_national_yearly!$D:$AM, 21, FALSE) / VLOOKUP("LULUCF|PM25|Premature mortality", US_national_yearly!$D:$AM, 10, FALSE), 1)</f>
        <v>4.4182123460124866E-5</v>
      </c>
      <c r="N2" s="7">
        <f>$B2 * IFERROR(VLOOKUP("LULUCF|PM25|Premature mortality", US_national_yearly!$D:$AM, 22, FALSE) / VLOOKUP("LULUCF|PM25|Premature mortality", US_national_yearly!$D:$AM, 10, FALSE), 1)</f>
        <v>4.4644283634717223E-5</v>
      </c>
      <c r="O2" s="7">
        <f>$B2 * IFERROR(VLOOKUP("LULUCF|PM25|Premature mortality", US_national_yearly!$D:$AM, 23, FALSE) / VLOOKUP("LULUCF|PM25|Premature mortality", US_national_yearly!$D:$AM, 10, FALSE), 1)</f>
        <v>4.5106443809309579E-5</v>
      </c>
      <c r="P2" s="7">
        <f>$B2 * IFERROR(VLOOKUP("LULUCF|PM25|Premature mortality", US_national_yearly!$D:$AM, 24, FALSE) / VLOOKUP("LULUCF|PM25|Premature mortality", US_national_yearly!$D:$AM, 10, FALSE), 1)</f>
        <v>4.5568603983901929E-5</v>
      </c>
      <c r="Q2" s="7">
        <f>$B2 * IFERROR(VLOOKUP("LULUCF|PM25|Premature mortality", US_national_yearly!$D:$AM, 25, FALSE) / VLOOKUP("LULUCF|PM25|Premature mortality", US_national_yearly!$D:$AM, 10, FALSE), 1)</f>
        <v>4.6030764158494286E-5</v>
      </c>
      <c r="R2" s="7">
        <f>$B2 * IFERROR(VLOOKUP("LULUCF|PM25|Premature mortality", US_national_yearly!$D:$AM, 26, FALSE) / VLOOKUP("LULUCF|PM25|Premature mortality", US_national_yearly!$D:$AM, 10, FALSE), 1)</f>
        <v>4.6492924333086656E-5</v>
      </c>
      <c r="S2" s="7">
        <f>$B2 * IFERROR(VLOOKUP("LULUCF|PM25|Premature mortality", US_national_yearly!$D:$AM, 27, FALSE) / VLOOKUP("LULUCF|PM25|Premature mortality", US_national_yearly!$D:$AM, 10, FALSE), 1)</f>
        <v>4.6737763062349225E-5</v>
      </c>
      <c r="T2" s="7">
        <f>$B2 * IFERROR(VLOOKUP("LULUCF|PM25|Premature mortality", US_national_yearly!$D:$AM, 28, FALSE) / VLOOKUP("LULUCF|PM25|Premature mortality", US_national_yearly!$D:$AM, 10, FALSE), 1)</f>
        <v>4.6982601791611787E-5</v>
      </c>
      <c r="U2" s="7">
        <f>$B2 * IFERROR(VLOOKUP("LULUCF|PM25|Premature mortality", US_national_yearly!$D:$AM, 29, FALSE) / VLOOKUP("LULUCF|PM25|Premature mortality", US_national_yearly!$D:$AM, 10, FALSE), 1)</f>
        <v>4.7227440520874356E-5</v>
      </c>
      <c r="V2" s="7">
        <f>$B2 * IFERROR(VLOOKUP("LULUCF|PM25|Premature mortality", US_national_yearly!$D:$AM, 30, FALSE) / VLOOKUP("LULUCF|PM25|Premature mortality", US_national_yearly!$D:$AM, 10, FALSE), 1)</f>
        <v>4.7472279250136919E-5</v>
      </c>
      <c r="W2" s="7">
        <f>$B2 * IFERROR(VLOOKUP("LULUCF|PM25|Premature mortality", US_national_yearly!$D:$AM, 31, FALSE) / VLOOKUP("LULUCF|PM25|Premature mortality", US_national_yearly!$D:$AM, 10, FALSE), 1)</f>
        <v>4.7717117979399488E-5</v>
      </c>
      <c r="X2" s="7">
        <f>$B2 * IFERROR(VLOOKUP("LULUCF|PM25|Premature mortality", US_national_yearly!$D:$AM, 32, FALSE) / VLOOKUP("LULUCF|PM25|Premature mortality", US_national_yearly!$D:$AM, 10, FALSE), 1)</f>
        <v>4.7759929925169822E-5</v>
      </c>
      <c r="Y2" s="7">
        <f>$B2 * IFERROR(VLOOKUP("LULUCF|PM25|Premature mortality", US_national_yearly!$D:$AM, 33, FALSE) / VLOOKUP("LULUCF|PM25|Premature mortality", US_national_yearly!$D:$AM, 10, FALSE), 1)</f>
        <v>4.7802741870940162E-5</v>
      </c>
      <c r="Z2" s="7">
        <f>$B2 * IFERROR(VLOOKUP("LULUCF|PM25|Premature mortality", US_national_yearly!$D:$AM, 34, FALSE) / VLOOKUP("LULUCF|PM25|Premature mortality", US_national_yearly!$D:$AM, 10, FALSE), 1)</f>
        <v>4.7845553816710495E-5</v>
      </c>
      <c r="AA2" s="7">
        <f>$B2 * IFERROR(VLOOKUP("LULUCF|PM25|Premature mortality", US_national_yearly!$D:$AM, 35, FALSE) / VLOOKUP("LULUCF|PM25|Premature mortality", US_national_yearly!$D:$AM, 10, FALSE), 1)</f>
        <v>4.7888365762480836E-5</v>
      </c>
      <c r="AB2" s="7">
        <f>$B2 * IFERROR(VLOOKUP("LULUCF|PM25|Premature mortality", US_national_yearly!$D:$AM, 36, FALSE) / VLOOKUP("LULUCF|PM25|Premature mortality", US_national_yearly!$D:$AM, 10, FALSE), 1)</f>
        <v>4.7931177708251169E-5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1.160757186214753E-7</v>
      </c>
      <c r="C3" s="7">
        <f>$B3 * IFERROR(VLOOKUP("LULUCF|PM25|Infant mortality", US_national_yearly!$D:$AM, 11, FALSE) / VLOOKUP("LULUCF|PM25|Infant mortality", US_national_yearly!$D:$AM, 10, FALSE), 1)</f>
        <v>1.1506364427494426E-7</v>
      </c>
      <c r="D3" s="7">
        <f>$B3 * IFERROR(VLOOKUP("LULUCF|PM25|Infant mortality", US_national_yearly!$D:$AM, 12, FALSE) / VLOOKUP("LULUCF|PM25|Infant mortality", US_national_yearly!$D:$AM, 10, FALSE), 1)</f>
        <v>1.1405156992841319E-7</v>
      </c>
      <c r="E3" s="7">
        <f>$B3 * IFERROR(VLOOKUP("LULUCF|PM25|Infant mortality", US_national_yearly!$D:$AM, 13, FALSE) / VLOOKUP("LULUCF|PM25|Infant mortality", US_national_yearly!$D:$AM, 10, FALSE), 1)</f>
        <v>1.1303949558188215E-7</v>
      </c>
      <c r="F3" s="7">
        <f>$B3 * IFERROR(VLOOKUP("LULUCF|PM25|Infant mortality", US_national_yearly!$D:$AM, 14, FALSE) / VLOOKUP("LULUCF|PM25|Infant mortality", US_national_yearly!$D:$AM, 10, FALSE), 1)</f>
        <v>1.1202742123535108E-7</v>
      </c>
      <c r="G3" s="7">
        <f>$B3 * IFERROR(VLOOKUP("LULUCF|PM25|Infant mortality", US_national_yearly!$D:$AM, 15, FALSE) / VLOOKUP("LULUCF|PM25|Infant mortality", US_national_yearly!$D:$AM, 10, FALSE), 1)</f>
        <v>7.4504227687405386E-8</v>
      </c>
      <c r="H3" s="7">
        <f>$B3 * IFERROR(VLOOKUP("LULUCF|PM25|Infant mortality", US_national_yearly!$D:$AM, 16, FALSE) / VLOOKUP("LULUCF|PM25|Infant mortality", US_national_yearly!$D:$AM, 10, FALSE), 1)</f>
        <v>3.698103413945967E-8</v>
      </c>
      <c r="I3" s="7">
        <f>$B3 * IFERROR(VLOOKUP("LULUCF|PM25|Infant mortality", US_national_yearly!$D:$AM, 17, FALSE) / VLOOKUP("LULUCF|PM25|Infant mortality", US_national_yearly!$D:$AM, 10, FALSE), 1)</f>
        <v>3.6739301994137664E-8</v>
      </c>
      <c r="J3" s="7">
        <f>$B3 * IFERROR(VLOOKUP("LULUCF|PM25|Infant mortality", US_national_yearly!$D:$AM, 18, FALSE) / VLOOKUP("LULUCF|PM25|Infant mortality", US_national_yearly!$D:$AM, 10, FALSE), 1)</f>
        <v>3.6497569848815659E-8</v>
      </c>
      <c r="K3" s="7">
        <f>$B3 * IFERROR(VLOOKUP("LULUCF|PM25|Infant mortality", US_national_yearly!$D:$AM, 19, FALSE) / VLOOKUP("LULUCF|PM25|Infant mortality", US_national_yearly!$D:$AM, 10, FALSE), 1)</f>
        <v>3.6255837703493647E-8</v>
      </c>
      <c r="L3" s="7">
        <f>$B3 * IFERROR(VLOOKUP("LULUCF|PM25|Infant mortality", US_national_yearly!$D:$AM, 20, FALSE) / VLOOKUP("LULUCF|PM25|Infant mortality", US_national_yearly!$D:$AM, 10, FALSE), 1)</f>
        <v>3.6014105558171642E-8</v>
      </c>
      <c r="M3" s="7">
        <f>$B3 * IFERROR(VLOOKUP("LULUCF|PM25|Infant mortality", US_national_yearly!$D:$AM, 21, FALSE) / VLOOKUP("LULUCF|PM25|Infant mortality", US_national_yearly!$D:$AM, 10, FALSE), 1)</f>
        <v>3.5772373412849636E-8</v>
      </c>
      <c r="N3" s="7">
        <f>$B3 * IFERROR(VLOOKUP("LULUCF|PM25|Infant mortality", US_national_yearly!$D:$AM, 22, FALSE) / VLOOKUP("LULUCF|PM25|Infant mortality", US_national_yearly!$D:$AM, 10, FALSE), 1)</f>
        <v>3.5620538863225196E-8</v>
      </c>
      <c r="O3" s="7">
        <f>$B3 * IFERROR(VLOOKUP("LULUCF|PM25|Infant mortality", US_national_yearly!$D:$AM, 23, FALSE) / VLOOKUP("LULUCF|PM25|Infant mortality", US_national_yearly!$D:$AM, 10, FALSE), 1)</f>
        <v>3.5468704313600763E-8</v>
      </c>
      <c r="P3" s="7">
        <f>$B3 * IFERROR(VLOOKUP("LULUCF|PM25|Infant mortality", US_national_yearly!$D:$AM, 24, FALSE) / VLOOKUP("LULUCF|PM25|Infant mortality", US_national_yearly!$D:$AM, 10, FALSE), 1)</f>
        <v>3.5316869763976317E-8</v>
      </c>
      <c r="Q3" s="7">
        <f>$B3 * IFERROR(VLOOKUP("LULUCF|PM25|Infant mortality", US_national_yearly!$D:$AM, 25, FALSE) / VLOOKUP("LULUCF|PM25|Infant mortality", US_national_yearly!$D:$AM, 10, FALSE), 1)</f>
        <v>3.5165035214351884E-8</v>
      </c>
      <c r="R3" s="7">
        <f>$B3 * IFERROR(VLOOKUP("LULUCF|PM25|Infant mortality", US_national_yearly!$D:$AM, 26, FALSE) / VLOOKUP("LULUCF|PM25|Infant mortality", US_national_yearly!$D:$AM, 10, FALSE), 1)</f>
        <v>3.5013200664727437E-8</v>
      </c>
      <c r="S3" s="7">
        <f>$B3 * IFERROR(VLOOKUP("LULUCF|PM25|Infant mortality", US_national_yearly!$D:$AM, 27, FALSE) / VLOOKUP("LULUCF|PM25|Infant mortality", US_national_yearly!$D:$AM, 10, FALSE), 1)</f>
        <v>3.4823935794120484E-8</v>
      </c>
      <c r="T3" s="7">
        <f>$B3 * IFERROR(VLOOKUP("LULUCF|PM25|Infant mortality", US_national_yearly!$D:$AM, 28, FALSE) / VLOOKUP("LULUCF|PM25|Infant mortality", US_national_yearly!$D:$AM, 10, FALSE), 1)</f>
        <v>3.4634670923513517E-8</v>
      </c>
      <c r="U3" s="7">
        <f>$B3 * IFERROR(VLOOKUP("LULUCF|PM25|Infant mortality", US_national_yearly!$D:$AM, 29, FALSE) / VLOOKUP("LULUCF|PM25|Infant mortality", US_national_yearly!$D:$AM, 10, FALSE), 1)</f>
        <v>3.4445406052906557E-8</v>
      </c>
      <c r="V3" s="7">
        <f>$B3 * IFERROR(VLOOKUP("LULUCF|PM25|Infant mortality", US_national_yearly!$D:$AM, 30, FALSE) / VLOOKUP("LULUCF|PM25|Infant mortality", US_national_yearly!$D:$AM, 10, FALSE), 1)</f>
        <v>3.4256141182299603E-8</v>
      </c>
      <c r="W3" s="7">
        <f>$B3 * IFERROR(VLOOKUP("LULUCF|PM25|Infant mortality", US_national_yearly!$D:$AM, 31, FALSE) / VLOOKUP("LULUCF|PM25|Infant mortality", US_national_yearly!$D:$AM, 10, FALSE), 1)</f>
        <v>3.4066876311692637E-8</v>
      </c>
      <c r="X3" s="7">
        <f>$B3 * IFERROR(VLOOKUP("LULUCF|PM25|Infant mortality", US_national_yearly!$D:$AM, 32, FALSE) / VLOOKUP("LULUCF|PM25|Infant mortality", US_national_yearly!$D:$AM, 10, FALSE), 1)</f>
        <v>3.3862824993079758E-8</v>
      </c>
      <c r="Y3" s="7">
        <f>$B3 * IFERROR(VLOOKUP("LULUCF|PM25|Infant mortality", US_national_yearly!$D:$AM, 33, FALSE) / VLOOKUP("LULUCF|PM25|Infant mortality", US_national_yearly!$D:$AM, 10, FALSE), 1)</f>
        <v>3.3658773674466866E-8</v>
      </c>
      <c r="Z3" s="7">
        <f>$B3 * IFERROR(VLOOKUP("LULUCF|PM25|Infant mortality", US_national_yearly!$D:$AM, 34, FALSE) / VLOOKUP("LULUCF|PM25|Infant mortality", US_national_yearly!$D:$AM, 10, FALSE), 1)</f>
        <v>3.3454722355853988E-8</v>
      </c>
      <c r="AA3" s="7">
        <f>$B3 * IFERROR(VLOOKUP("LULUCF|PM25|Infant mortality", US_national_yearly!$D:$AM, 35, FALSE) / VLOOKUP("LULUCF|PM25|Infant mortality", US_national_yearly!$D:$AM, 10, FALSE), 1)</f>
        <v>3.3250671037241103E-8</v>
      </c>
      <c r="AB3" s="7">
        <f>$B3 * IFERROR(VLOOKUP("LULUCF|PM25|Infant mortality", US_national_yearly!$D:$AM, 36, FALSE) / VLOOKUP("LULUCF|PM25|Infant mortality", US_national_yearly!$D:$AM, 10, FALSE), 1)</f>
        <v>3.3046619718628224E-8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1.0320920507639228E-4</v>
      </c>
      <c r="C6" s="7">
        <f>$B6 * IFERROR(VLOOKUP("LULUCF|PM25|Asthma symptoms cough", US_national_yearly!$D:$AM, 11, FALSE) / VLOOKUP("LULUCF|PM25|Asthma symptoms cough", US_national_yearly!$D:$AM, 10, FALSE), 1)</f>
        <v>1.0320920507639228E-4</v>
      </c>
      <c r="D6" s="7">
        <f>$B6 * IFERROR(VLOOKUP("LULUCF|PM25|Asthma symptoms cough", US_national_yearly!$D:$AM, 12, FALSE) / VLOOKUP("LULUCF|PM25|Asthma symptoms cough", US_national_yearly!$D:$AM, 10, FALSE), 1)</f>
        <v>1.0320920507639228E-4</v>
      </c>
      <c r="E6" s="7">
        <f>$B6 * IFERROR(VLOOKUP("LULUCF|PM25|Asthma symptoms cough", US_national_yearly!$D:$AM, 13, FALSE) / VLOOKUP("LULUCF|PM25|Asthma symptoms cough", US_national_yearly!$D:$AM, 10, FALSE), 1)</f>
        <v>1.0320920507639228E-4</v>
      </c>
      <c r="F6" s="7">
        <f>$B6 * IFERROR(VLOOKUP("LULUCF|PM25|Asthma symptoms cough", US_national_yearly!$D:$AM, 14, FALSE) / VLOOKUP("LULUCF|PM25|Asthma symptoms cough", US_national_yearly!$D:$AM, 10, FALSE), 1)</f>
        <v>1.0320920507639228E-4</v>
      </c>
      <c r="G6" s="7">
        <f>$B6 * IFERROR(VLOOKUP("LULUCF|PM25|Asthma symptoms cough", US_national_yearly!$D:$AM, 15, FALSE) / VLOOKUP("LULUCF|PM25|Asthma symptoms cough", US_national_yearly!$D:$AM, 10, FALSE), 1)</f>
        <v>1.0320920507639228E-4</v>
      </c>
      <c r="H6" s="7">
        <f>$B6 * IFERROR(VLOOKUP("LULUCF|PM25|Asthma symptoms cough", US_national_yearly!$D:$AM, 16, FALSE) / VLOOKUP("LULUCF|PM25|Asthma symptoms cough", US_national_yearly!$D:$AM, 10, FALSE), 1)</f>
        <v>1.0320920507639228E-4</v>
      </c>
      <c r="I6" s="7">
        <f>$B6 * IFERROR(VLOOKUP("LULUCF|PM25|Asthma symptoms cough", US_national_yearly!$D:$AM, 17, FALSE) / VLOOKUP("LULUCF|PM25|Asthma symptoms cough", US_national_yearly!$D:$AM, 10, FALSE), 1)</f>
        <v>1.0320920507639228E-4</v>
      </c>
      <c r="J6" s="7">
        <f>$B6 * IFERROR(VLOOKUP("LULUCF|PM25|Asthma symptoms cough", US_national_yearly!$D:$AM, 18, FALSE) / VLOOKUP("LULUCF|PM25|Asthma symptoms cough", US_national_yearly!$D:$AM, 10, FALSE), 1)</f>
        <v>1.0320920507639228E-4</v>
      </c>
      <c r="K6" s="7">
        <f>$B6 * IFERROR(VLOOKUP("LULUCF|PM25|Asthma symptoms cough", US_national_yearly!$D:$AM, 19, FALSE) / VLOOKUP("LULUCF|PM25|Asthma symptoms cough", US_national_yearly!$D:$AM, 10, FALSE), 1)</f>
        <v>1.0320920507639228E-4</v>
      </c>
      <c r="L6" s="7">
        <f>$B6 * IFERROR(VLOOKUP("LULUCF|PM25|Asthma symptoms cough", US_national_yearly!$D:$AM, 20, FALSE) / VLOOKUP("LULUCF|PM25|Asthma symptoms cough", US_national_yearly!$D:$AM, 10, FALSE), 1)</f>
        <v>1.0320920507639228E-4</v>
      </c>
      <c r="M6" s="7">
        <f>$B6 * IFERROR(VLOOKUP("LULUCF|PM25|Asthma symptoms cough", US_national_yearly!$D:$AM, 21, FALSE) / VLOOKUP("LULUCF|PM25|Asthma symptoms cough", US_national_yearly!$D:$AM, 10, FALSE), 1)</f>
        <v>1.0320920507639228E-4</v>
      </c>
      <c r="N6" s="7">
        <f>$B6 * IFERROR(VLOOKUP("LULUCF|PM25|Asthma symptoms cough", US_national_yearly!$D:$AM, 22, FALSE) / VLOOKUP("LULUCF|PM25|Asthma symptoms cough", US_national_yearly!$D:$AM, 10, FALSE), 1)</f>
        <v>1.0320920507639228E-4</v>
      </c>
      <c r="O6" s="7">
        <f>$B6 * IFERROR(VLOOKUP("LULUCF|PM25|Asthma symptoms cough", US_national_yearly!$D:$AM, 23, FALSE) / VLOOKUP("LULUCF|PM25|Asthma symptoms cough", US_national_yearly!$D:$AM, 10, FALSE), 1)</f>
        <v>1.0320920507639228E-4</v>
      </c>
      <c r="P6" s="7">
        <f>$B6 * IFERROR(VLOOKUP("LULUCF|PM25|Asthma symptoms cough", US_national_yearly!$D:$AM, 24, FALSE) / VLOOKUP("LULUCF|PM25|Asthma symptoms cough", US_national_yearly!$D:$AM, 10, FALSE), 1)</f>
        <v>1.0320920507639228E-4</v>
      </c>
      <c r="Q6" s="7">
        <f>$B6 * IFERROR(VLOOKUP("LULUCF|PM25|Asthma symptoms cough", US_national_yearly!$D:$AM, 25, FALSE) / VLOOKUP("LULUCF|PM25|Asthma symptoms cough", US_national_yearly!$D:$AM, 10, FALSE), 1)</f>
        <v>1.0320920507639228E-4</v>
      </c>
      <c r="R6" s="7">
        <f>$B6 * IFERROR(VLOOKUP("LULUCF|PM25|Asthma symptoms cough", US_national_yearly!$D:$AM, 26, FALSE) / VLOOKUP("LULUCF|PM25|Asthma symptoms cough", US_national_yearly!$D:$AM, 10, FALSE), 1)</f>
        <v>1.0320920507639228E-4</v>
      </c>
      <c r="S6" s="7">
        <f>$B6 * IFERROR(VLOOKUP("LULUCF|PM25|Asthma symptoms cough", US_national_yearly!$D:$AM, 27, FALSE) / VLOOKUP("LULUCF|PM25|Asthma symptoms cough", US_national_yearly!$D:$AM, 10, FALSE), 1)</f>
        <v>1.0320920507639228E-4</v>
      </c>
      <c r="T6" s="7">
        <f>$B6 * IFERROR(VLOOKUP("LULUCF|PM25|Asthma symptoms cough", US_national_yearly!$D:$AM, 28, FALSE) / VLOOKUP("LULUCF|PM25|Asthma symptoms cough", US_national_yearly!$D:$AM, 10, FALSE), 1)</f>
        <v>1.0320920507639228E-4</v>
      </c>
      <c r="U6" s="7">
        <f>$B6 * IFERROR(VLOOKUP("LULUCF|PM25|Asthma symptoms cough", US_national_yearly!$D:$AM, 29, FALSE) / VLOOKUP("LULUCF|PM25|Asthma symptoms cough", US_national_yearly!$D:$AM, 10, FALSE), 1)</f>
        <v>1.0320920507639228E-4</v>
      </c>
      <c r="V6" s="7">
        <f>$B6 * IFERROR(VLOOKUP("LULUCF|PM25|Asthma symptoms cough", US_national_yearly!$D:$AM, 30, FALSE) / VLOOKUP("LULUCF|PM25|Asthma symptoms cough", US_national_yearly!$D:$AM, 10, FALSE), 1)</f>
        <v>1.0320920507639228E-4</v>
      </c>
      <c r="W6" s="7">
        <f>$B6 * IFERROR(VLOOKUP("LULUCF|PM25|Asthma symptoms cough", US_national_yearly!$D:$AM, 31, FALSE) / VLOOKUP("LULUCF|PM25|Asthma symptoms cough", US_national_yearly!$D:$AM, 10, FALSE), 1)</f>
        <v>1.0320920507639228E-4</v>
      </c>
      <c r="X6" s="7">
        <f>$B6 * IFERROR(VLOOKUP("LULUCF|PM25|Asthma symptoms cough", US_national_yearly!$D:$AM, 32, FALSE) / VLOOKUP("LULUCF|PM25|Asthma symptoms cough", US_national_yearly!$D:$AM, 10, FALSE), 1)</f>
        <v>1.0320920507639228E-4</v>
      </c>
      <c r="Y6" s="7">
        <f>$B6 * IFERROR(VLOOKUP("LULUCF|PM25|Asthma symptoms cough", US_national_yearly!$D:$AM, 33, FALSE) / VLOOKUP("LULUCF|PM25|Asthma symptoms cough", US_national_yearly!$D:$AM, 10, FALSE), 1)</f>
        <v>1.0320920507639228E-4</v>
      </c>
      <c r="Z6" s="7">
        <f>$B6 * IFERROR(VLOOKUP("LULUCF|PM25|Asthma symptoms cough", US_national_yearly!$D:$AM, 34, FALSE) / VLOOKUP("LULUCF|PM25|Asthma symptoms cough", US_national_yearly!$D:$AM, 10, FALSE), 1)</f>
        <v>1.0320920507639228E-4</v>
      </c>
      <c r="AA6" s="7">
        <f>$B6 * IFERROR(VLOOKUP("LULUCF|PM25|Asthma symptoms cough", US_national_yearly!$D:$AM, 35, FALSE) / VLOOKUP("LULUCF|PM25|Asthma symptoms cough", US_national_yearly!$D:$AM, 10, FALSE), 1)</f>
        <v>1.0320920507639228E-4</v>
      </c>
      <c r="AB6" s="7">
        <f>$B6 * IFERROR(VLOOKUP("LULUCF|PM25|Asthma symptoms cough", US_national_yearly!$D:$AM, 36, FALSE) / VLOOKUP("LULUCF|PM25|Asthma symptoms cough", US_national_yearly!$D:$AM, 10, FALSE), 1)</f>
        <v>1.0320920507639228E-4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1.3898625229312911E-4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1.3898625229312911E-4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1.3898625229312911E-4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1.3898625229312911E-4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1.3898625229312911E-4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1.3898625229312911E-4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1.3898625229312911E-4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1.3898625229312911E-4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1.3898625229312911E-4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1.3898625229312911E-4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1.3898625229312911E-4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1.3898625229312911E-4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1.3898625229312911E-4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1.3898625229312911E-4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1.3898625229312911E-4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1.3898625229312911E-4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1.3898625229312911E-4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1.3898625229312911E-4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1.3898625229312911E-4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1.3898625229312911E-4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1.3898625229312911E-4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1.3898625229312911E-4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1.3898625229312911E-4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1.3898625229312911E-4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1.3898625229312911E-4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1.3898625229312911E-4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1.3898625229312911E-4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2.1234714196541571E-4</v>
      </c>
      <c r="C8" s="7">
        <f>$B8 * IFERROR(VLOOKUP("LULUCF|PM25|Asthma symptoms wheeze", US_national_yearly!$D:$AM, 11, FALSE) / VLOOKUP("LULUCF|PM25|Asthma symptoms wheeze", US_national_yearly!$D:$AM, 10, FALSE), 1)</f>
        <v>2.1234714196541571E-4</v>
      </c>
      <c r="D8" s="7">
        <f>$B8 * IFERROR(VLOOKUP("LULUCF|PM25|Asthma symptoms wheeze", US_national_yearly!$D:$AM, 12, FALSE) / VLOOKUP("LULUCF|PM25|Asthma symptoms wheeze", US_national_yearly!$D:$AM, 10, FALSE), 1)</f>
        <v>2.1234714196541571E-4</v>
      </c>
      <c r="E8" s="7">
        <f>$B8 * IFERROR(VLOOKUP("LULUCF|PM25|Asthma symptoms wheeze", US_national_yearly!$D:$AM, 13, FALSE) / VLOOKUP("LULUCF|PM25|Asthma symptoms wheeze", US_national_yearly!$D:$AM, 10, FALSE), 1)</f>
        <v>2.1234714196541571E-4</v>
      </c>
      <c r="F8" s="7">
        <f>$B8 * IFERROR(VLOOKUP("LULUCF|PM25|Asthma symptoms wheeze", US_national_yearly!$D:$AM, 14, FALSE) / VLOOKUP("LULUCF|PM25|Asthma symptoms wheeze", US_national_yearly!$D:$AM, 10, FALSE), 1)</f>
        <v>2.1234714196541571E-4</v>
      </c>
      <c r="G8" s="7">
        <f>$B8 * IFERROR(VLOOKUP("LULUCF|PM25|Asthma symptoms wheeze", US_national_yearly!$D:$AM, 15, FALSE) / VLOOKUP("LULUCF|PM25|Asthma symptoms wheeze", US_national_yearly!$D:$AM, 10, FALSE), 1)</f>
        <v>2.1234714196541571E-4</v>
      </c>
      <c r="H8" s="7">
        <f>$B8 * IFERROR(VLOOKUP("LULUCF|PM25|Asthma symptoms wheeze", US_national_yearly!$D:$AM, 16, FALSE) / VLOOKUP("LULUCF|PM25|Asthma symptoms wheeze", US_national_yearly!$D:$AM, 10, FALSE), 1)</f>
        <v>2.1234714196541571E-4</v>
      </c>
      <c r="I8" s="7">
        <f>$B8 * IFERROR(VLOOKUP("LULUCF|PM25|Asthma symptoms wheeze", US_national_yearly!$D:$AM, 17, FALSE) / VLOOKUP("LULUCF|PM25|Asthma symptoms wheeze", US_national_yearly!$D:$AM, 10, FALSE), 1)</f>
        <v>2.1234714196541571E-4</v>
      </c>
      <c r="J8" s="7">
        <f>$B8 * IFERROR(VLOOKUP("LULUCF|PM25|Asthma symptoms wheeze", US_national_yearly!$D:$AM, 18, FALSE) / VLOOKUP("LULUCF|PM25|Asthma symptoms wheeze", US_national_yearly!$D:$AM, 10, FALSE), 1)</f>
        <v>2.1234714196541571E-4</v>
      </c>
      <c r="K8" s="7">
        <f>$B8 * IFERROR(VLOOKUP("LULUCF|PM25|Asthma symptoms wheeze", US_national_yearly!$D:$AM, 19, FALSE) / VLOOKUP("LULUCF|PM25|Asthma symptoms wheeze", US_national_yearly!$D:$AM, 10, FALSE), 1)</f>
        <v>2.1234714196541571E-4</v>
      </c>
      <c r="L8" s="7">
        <f>$B8 * IFERROR(VLOOKUP("LULUCF|PM25|Asthma symptoms wheeze", US_national_yearly!$D:$AM, 20, FALSE) / VLOOKUP("LULUCF|PM25|Asthma symptoms wheeze", US_national_yearly!$D:$AM, 10, FALSE), 1)</f>
        <v>2.1234714196541571E-4</v>
      </c>
      <c r="M8" s="7">
        <f>$B8 * IFERROR(VLOOKUP("LULUCF|PM25|Asthma symptoms wheeze", US_national_yearly!$D:$AM, 21, FALSE) / VLOOKUP("LULUCF|PM25|Asthma symptoms wheeze", US_national_yearly!$D:$AM, 10, FALSE), 1)</f>
        <v>2.1234714196541571E-4</v>
      </c>
      <c r="N8" s="7">
        <f>$B8 * IFERROR(VLOOKUP("LULUCF|PM25|Asthma symptoms wheeze", US_national_yearly!$D:$AM, 22, FALSE) / VLOOKUP("LULUCF|PM25|Asthma symptoms wheeze", US_national_yearly!$D:$AM, 10, FALSE), 1)</f>
        <v>2.1234714196541571E-4</v>
      </c>
      <c r="O8" s="7">
        <f>$B8 * IFERROR(VLOOKUP("LULUCF|PM25|Asthma symptoms wheeze", US_national_yearly!$D:$AM, 23, FALSE) / VLOOKUP("LULUCF|PM25|Asthma symptoms wheeze", US_national_yearly!$D:$AM, 10, FALSE), 1)</f>
        <v>2.1234714196541571E-4</v>
      </c>
      <c r="P8" s="7">
        <f>$B8 * IFERROR(VLOOKUP("LULUCF|PM25|Asthma symptoms wheeze", US_national_yearly!$D:$AM, 24, FALSE) / VLOOKUP("LULUCF|PM25|Asthma symptoms wheeze", US_national_yearly!$D:$AM, 10, FALSE), 1)</f>
        <v>2.1234714196541571E-4</v>
      </c>
      <c r="Q8" s="7">
        <f>$B8 * IFERROR(VLOOKUP("LULUCF|PM25|Asthma symptoms wheeze", US_national_yearly!$D:$AM, 25, FALSE) / VLOOKUP("LULUCF|PM25|Asthma symptoms wheeze", US_national_yearly!$D:$AM, 10, FALSE), 1)</f>
        <v>2.1234714196541571E-4</v>
      </c>
      <c r="R8" s="7">
        <f>$B8 * IFERROR(VLOOKUP("LULUCF|PM25|Asthma symptoms wheeze", US_national_yearly!$D:$AM, 26, FALSE) / VLOOKUP("LULUCF|PM25|Asthma symptoms wheeze", US_national_yearly!$D:$AM, 10, FALSE), 1)</f>
        <v>2.1234714196541571E-4</v>
      </c>
      <c r="S8" s="7">
        <f>$B8 * IFERROR(VLOOKUP("LULUCF|PM25|Asthma symptoms wheeze", US_national_yearly!$D:$AM, 27, FALSE) / VLOOKUP("LULUCF|PM25|Asthma symptoms wheeze", US_national_yearly!$D:$AM, 10, FALSE), 1)</f>
        <v>2.1234714196541571E-4</v>
      </c>
      <c r="T8" s="7">
        <f>$B8 * IFERROR(VLOOKUP("LULUCF|PM25|Asthma symptoms wheeze", US_national_yearly!$D:$AM, 28, FALSE) / VLOOKUP("LULUCF|PM25|Asthma symptoms wheeze", US_national_yearly!$D:$AM, 10, FALSE), 1)</f>
        <v>2.1234714196541571E-4</v>
      </c>
      <c r="U8" s="7">
        <f>$B8 * IFERROR(VLOOKUP("LULUCF|PM25|Asthma symptoms wheeze", US_national_yearly!$D:$AM, 29, FALSE) / VLOOKUP("LULUCF|PM25|Asthma symptoms wheeze", US_national_yearly!$D:$AM, 10, FALSE), 1)</f>
        <v>2.1234714196541571E-4</v>
      </c>
      <c r="V8" s="7">
        <f>$B8 * IFERROR(VLOOKUP("LULUCF|PM25|Asthma symptoms wheeze", US_national_yearly!$D:$AM, 30, FALSE) / VLOOKUP("LULUCF|PM25|Asthma symptoms wheeze", US_national_yearly!$D:$AM, 10, FALSE), 1)</f>
        <v>2.1234714196541571E-4</v>
      </c>
      <c r="W8" s="7">
        <f>$B8 * IFERROR(VLOOKUP("LULUCF|PM25|Asthma symptoms wheeze", US_national_yearly!$D:$AM, 31, FALSE) / VLOOKUP("LULUCF|PM25|Asthma symptoms wheeze", US_national_yearly!$D:$AM, 10, FALSE), 1)</f>
        <v>2.1234714196541571E-4</v>
      </c>
      <c r="X8" s="7">
        <f>$B8 * IFERROR(VLOOKUP("LULUCF|PM25|Asthma symptoms wheeze", US_national_yearly!$D:$AM, 32, FALSE) / VLOOKUP("LULUCF|PM25|Asthma symptoms wheeze", US_national_yearly!$D:$AM, 10, FALSE), 1)</f>
        <v>2.1234714196541571E-4</v>
      </c>
      <c r="Y8" s="7">
        <f>$B8 * IFERROR(VLOOKUP("LULUCF|PM25|Asthma symptoms wheeze", US_national_yearly!$D:$AM, 33, FALSE) / VLOOKUP("LULUCF|PM25|Asthma symptoms wheeze", US_national_yearly!$D:$AM, 10, FALSE), 1)</f>
        <v>2.1234714196541571E-4</v>
      </c>
      <c r="Z8" s="7">
        <f>$B8 * IFERROR(VLOOKUP("LULUCF|PM25|Asthma symptoms wheeze", US_national_yearly!$D:$AM, 34, FALSE) / VLOOKUP("LULUCF|PM25|Asthma symptoms wheeze", US_national_yearly!$D:$AM, 10, FALSE), 1)</f>
        <v>2.1234714196541571E-4</v>
      </c>
      <c r="AA8" s="7">
        <f>$B8 * IFERROR(VLOOKUP("LULUCF|PM25|Asthma symptoms wheeze", US_national_yearly!$D:$AM, 35, FALSE) / VLOOKUP("LULUCF|PM25|Asthma symptoms wheeze", US_national_yearly!$D:$AM, 10, FALSE), 1)</f>
        <v>2.1234714196541571E-4</v>
      </c>
      <c r="AB8" s="7">
        <f>$B8 * IFERROR(VLOOKUP("LULUCF|PM25|Asthma symptoms wheeze", US_national_yearly!$D:$AM, 36, FALSE) / VLOOKUP("LULUCF|PM25|Asthma symptoms wheeze", US_national_yearly!$D:$AM, 10, FALSE), 1)</f>
        <v>2.1234714196541571E-4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3.6242008236687601E-6</v>
      </c>
      <c r="C12" s="7">
        <f>$B12 * IFERROR(VLOOKUP("LULUCF|PM25|Respiratory hospital admissions", US_national_yearly!$D:$AM, 11, FALSE) / VLOOKUP("LULUCF|PM25|Respiratory hospital admissions", US_national_yearly!$D:$AM, 10, FALSE), 1)</f>
        <v>3.6449732820306907E-6</v>
      </c>
      <c r="D12" s="7">
        <f>$B12 * IFERROR(VLOOKUP("LULUCF|PM25|Respiratory hospital admissions", US_national_yearly!$D:$AM, 12, FALSE) / VLOOKUP("LULUCF|PM25|Respiratory hospital admissions", US_national_yearly!$D:$AM, 10, FALSE), 1)</f>
        <v>3.6657457403926203E-6</v>
      </c>
      <c r="E12" s="7">
        <f>$B12 * IFERROR(VLOOKUP("LULUCF|PM25|Respiratory hospital admissions", US_national_yearly!$D:$AM, 13, FALSE) / VLOOKUP("LULUCF|PM25|Respiratory hospital admissions", US_national_yearly!$D:$AM, 10, FALSE), 1)</f>
        <v>3.6865181987545504E-6</v>
      </c>
      <c r="F12" s="7">
        <f>$B12 * IFERROR(VLOOKUP("LULUCF|PM25|Respiratory hospital admissions", US_national_yearly!$D:$AM, 14, FALSE) / VLOOKUP("LULUCF|PM25|Respiratory hospital admissions", US_national_yearly!$D:$AM, 10, FALSE), 1)</f>
        <v>3.7072906571164801E-6</v>
      </c>
      <c r="G12" s="7">
        <f>$B12 * IFERROR(VLOOKUP("LULUCF|PM25|Respiratory hospital admissions", US_national_yearly!$D:$AM, 15, FALSE) / VLOOKUP("LULUCF|PM25|Respiratory hospital admissions", US_national_yearly!$D:$AM, 10, FALSE), 1)</f>
        <v>3.7297257982023026E-6</v>
      </c>
      <c r="H12" s="7">
        <f>$B12 * IFERROR(VLOOKUP("LULUCF|PM25|Respiratory hospital admissions", US_national_yearly!$D:$AM, 16, FALSE) / VLOOKUP("LULUCF|PM25|Respiratory hospital admissions", US_national_yearly!$D:$AM, 10, FALSE), 1)</f>
        <v>3.7521609392881252E-6</v>
      </c>
      <c r="I12" s="7">
        <f>$B12 * IFERROR(VLOOKUP("LULUCF|PM25|Respiratory hospital admissions", US_national_yearly!$D:$AM, 17, FALSE) / VLOOKUP("LULUCF|PM25|Respiratory hospital admissions", US_national_yearly!$D:$AM, 10, FALSE), 1)</f>
        <v>3.7735968642058267E-6</v>
      </c>
      <c r="J12" s="7">
        <f>$B12 * IFERROR(VLOOKUP("LULUCF|PM25|Respiratory hospital admissions", US_national_yearly!$D:$AM, 18, FALSE) / VLOOKUP("LULUCF|PM25|Respiratory hospital admissions", US_national_yearly!$D:$AM, 10, FALSE), 1)</f>
        <v>3.7950327891235299E-6</v>
      </c>
      <c r="K12" s="7">
        <f>$B12 * IFERROR(VLOOKUP("LULUCF|PM25|Respiratory hospital admissions", US_national_yearly!$D:$AM, 19, FALSE) / VLOOKUP("LULUCF|PM25|Respiratory hospital admissions", US_national_yearly!$D:$AM, 10, FALSE), 1)</f>
        <v>3.8164687140412323E-6</v>
      </c>
      <c r="L12" s="7">
        <f>$B12 * IFERROR(VLOOKUP("LULUCF|PM25|Respiratory hospital admissions", US_national_yearly!$D:$AM, 20, FALSE) / VLOOKUP("LULUCF|PM25|Respiratory hospital admissions", US_national_yearly!$D:$AM, 10, FALSE), 1)</f>
        <v>3.8379046389589355E-6</v>
      </c>
      <c r="M12" s="7">
        <f>$B12 * IFERROR(VLOOKUP("LULUCF|PM25|Respiratory hospital admissions", US_national_yearly!$D:$AM, 21, FALSE) / VLOOKUP("LULUCF|PM25|Respiratory hospital admissions", US_national_yearly!$D:$AM, 10, FALSE), 1)</f>
        <v>3.8593405638766371E-6</v>
      </c>
      <c r="N12" s="7">
        <f>$B12 * IFERROR(VLOOKUP("LULUCF|PM25|Respiratory hospital admissions", US_national_yearly!$D:$AM, 22, FALSE) / VLOOKUP("LULUCF|PM25|Respiratory hospital admissions", US_national_yearly!$D:$AM, 10, FALSE), 1)</f>
        <v>3.8747257527295679E-6</v>
      </c>
      <c r="O12" s="7">
        <f>$B12 * IFERROR(VLOOKUP("LULUCF|PM25|Respiratory hospital admissions", US_national_yearly!$D:$AM, 23, FALSE) / VLOOKUP("LULUCF|PM25|Respiratory hospital admissions", US_national_yearly!$D:$AM, 10, FALSE), 1)</f>
        <v>3.8901109415824986E-6</v>
      </c>
      <c r="P12" s="7">
        <f>$B12 * IFERROR(VLOOKUP("LULUCF|PM25|Respiratory hospital admissions", US_national_yearly!$D:$AM, 24, FALSE) / VLOOKUP("LULUCF|PM25|Respiratory hospital admissions", US_national_yearly!$D:$AM, 10, FALSE), 1)</f>
        <v>3.9054961304354277E-6</v>
      </c>
      <c r="Q12" s="7">
        <f>$B12 * IFERROR(VLOOKUP("LULUCF|PM25|Respiratory hospital admissions", US_national_yearly!$D:$AM, 25, FALSE) / VLOOKUP("LULUCF|PM25|Respiratory hospital admissions", US_national_yearly!$D:$AM, 10, FALSE), 1)</f>
        <v>3.9208813192883577E-6</v>
      </c>
      <c r="R12" s="7">
        <f>$B12 * IFERROR(VLOOKUP("LULUCF|PM25|Respiratory hospital admissions", US_national_yearly!$D:$AM, 26, FALSE) / VLOOKUP("LULUCF|PM25|Respiratory hospital admissions", US_national_yearly!$D:$AM, 10, FALSE), 1)</f>
        <v>3.9362665081412893E-6</v>
      </c>
      <c r="S12" s="7">
        <f>$B12 * IFERROR(VLOOKUP("LULUCF|PM25|Respiratory hospital admissions", US_national_yearly!$D:$AM, 27, FALSE) / VLOOKUP("LULUCF|PM25|Respiratory hospital admissions", US_national_yearly!$D:$AM, 10, FALSE), 1)</f>
        <v>3.950915235202845E-6</v>
      </c>
      <c r="T12" s="7">
        <f>$B12 * IFERROR(VLOOKUP("LULUCF|PM25|Respiratory hospital admissions", US_national_yearly!$D:$AM, 28, FALSE) / VLOOKUP("LULUCF|PM25|Respiratory hospital admissions", US_national_yearly!$D:$AM, 10, FALSE), 1)</f>
        <v>3.9655639622644015E-6</v>
      </c>
      <c r="U12" s="7">
        <f>$B12 * IFERROR(VLOOKUP("LULUCF|PM25|Respiratory hospital admissions", US_national_yearly!$D:$AM, 29, FALSE) / VLOOKUP("LULUCF|PM25|Respiratory hospital admissions", US_national_yearly!$D:$AM, 10, FALSE), 1)</f>
        <v>3.980212689325958E-6</v>
      </c>
      <c r="V12" s="7">
        <f>$B12 * IFERROR(VLOOKUP("LULUCF|PM25|Respiratory hospital admissions", US_national_yearly!$D:$AM, 30, FALSE) / VLOOKUP("LULUCF|PM25|Respiratory hospital admissions", US_national_yearly!$D:$AM, 10, FALSE), 1)</f>
        <v>3.9948614163875136E-6</v>
      </c>
      <c r="W12" s="7">
        <f>$B12 * IFERROR(VLOOKUP("LULUCF|PM25|Respiratory hospital admissions", US_national_yearly!$D:$AM, 31, FALSE) / VLOOKUP("LULUCF|PM25|Respiratory hospital admissions", US_national_yearly!$D:$AM, 10, FALSE), 1)</f>
        <v>4.0095101434490693E-6</v>
      </c>
      <c r="X12" s="7">
        <f>$B12 * IFERROR(VLOOKUP("LULUCF|PM25|Respiratory hospital admissions", US_national_yearly!$D:$AM, 32, FALSE) / VLOOKUP("LULUCF|PM25|Respiratory hospital admissions", US_national_yearly!$D:$AM, 10, FALSE), 1)</f>
        <v>4.0236024057439415E-6</v>
      </c>
      <c r="Y12" s="7">
        <f>$B12 * IFERROR(VLOOKUP("LULUCF|PM25|Respiratory hospital admissions", US_national_yearly!$D:$AM, 33, FALSE) / VLOOKUP("LULUCF|PM25|Respiratory hospital admissions", US_national_yearly!$D:$AM, 10, FALSE), 1)</f>
        <v>4.0376946680388119E-6</v>
      </c>
      <c r="Z12" s="7">
        <f>$B12 * IFERROR(VLOOKUP("LULUCF|PM25|Respiratory hospital admissions", US_national_yearly!$D:$AM, 34, FALSE) / VLOOKUP("LULUCF|PM25|Respiratory hospital admissions", US_national_yearly!$D:$AM, 10, FALSE), 1)</f>
        <v>4.0517869303336841E-6</v>
      </c>
      <c r="AA12" s="7">
        <f>$B12 * IFERROR(VLOOKUP("LULUCF|PM25|Respiratory hospital admissions", US_national_yearly!$D:$AM, 35, FALSE) / VLOOKUP("LULUCF|PM25|Respiratory hospital admissions", US_national_yearly!$D:$AM, 10, FALSE), 1)</f>
        <v>4.0658791926285546E-6</v>
      </c>
      <c r="AB12" s="7">
        <f>$B12 * IFERROR(VLOOKUP("LULUCF|PM25|Respiratory hospital admissions", US_national_yearly!$D:$AM, 36, FALSE) / VLOOKUP("LULUCF|PM25|Respiratory hospital admissions", US_national_yearly!$D:$AM, 10, FALSE), 1)</f>
        <v>4.0799714549234259E-6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1.6789772139651647E-5</v>
      </c>
      <c r="C13" s="7">
        <f>$B13 * IFERROR(VLOOKUP("LULUCF|PM25|Non-fatal heart attacks", US_national_yearly!$D:$AM, 11, FALSE) / VLOOKUP("LULUCF|PM25|Non-fatal heart attacks", US_national_yearly!$D:$AM, 10, FALSE), 1)</f>
        <v>1.7277895370707268E-5</v>
      </c>
      <c r="D13" s="7">
        <f>$B13 * IFERROR(VLOOKUP("LULUCF|PM25|Non-fatal heart attacks", US_national_yearly!$D:$AM, 12, FALSE) / VLOOKUP("LULUCF|PM25|Non-fatal heart attacks", US_national_yearly!$D:$AM, 10, FALSE), 1)</f>
        <v>1.7766018601762887E-5</v>
      </c>
      <c r="E13" s="7">
        <f>$B13 * IFERROR(VLOOKUP("LULUCF|PM25|Non-fatal heart attacks", US_national_yearly!$D:$AM, 13, FALSE) / VLOOKUP("LULUCF|PM25|Non-fatal heart attacks", US_national_yearly!$D:$AM, 10, FALSE), 1)</f>
        <v>1.8254141832818505E-5</v>
      </c>
      <c r="F13" s="7">
        <f>$B13 * IFERROR(VLOOKUP("LULUCF|PM25|Non-fatal heart attacks", US_national_yearly!$D:$AM, 14, FALSE) / VLOOKUP("LULUCF|PM25|Non-fatal heart attacks", US_national_yearly!$D:$AM, 10, FALSE), 1)</f>
        <v>1.8742265063874127E-5</v>
      </c>
      <c r="G13" s="7">
        <f>$B13 * IFERROR(VLOOKUP("LULUCF|PM25|Non-fatal heart attacks", US_national_yearly!$D:$AM, 15, FALSE) / VLOOKUP("LULUCF|PM25|Non-fatal heart attacks", US_national_yearly!$D:$AM, 10, FALSE), 1)</f>
        <v>1.9202596129311987E-5</v>
      </c>
      <c r="H13" s="7">
        <f>$B13 * IFERROR(VLOOKUP("LULUCF|PM25|Non-fatal heart attacks", US_national_yearly!$D:$AM, 16, FALSE) / VLOOKUP("LULUCF|PM25|Non-fatal heart attacks", US_national_yearly!$D:$AM, 10, FALSE), 1)</f>
        <v>1.9662927194749841E-5</v>
      </c>
      <c r="I13" s="7">
        <f>$B13 * IFERROR(VLOOKUP("LULUCF|PM25|Non-fatal heart attacks", US_national_yearly!$D:$AM, 17, FALSE) / VLOOKUP("LULUCF|PM25|Non-fatal heart attacks", US_national_yearly!$D:$AM, 10, FALSE), 1)</f>
        <v>2.0032880193895624E-5</v>
      </c>
      <c r="J13" s="7">
        <f>$B13 * IFERROR(VLOOKUP("LULUCF|PM25|Non-fatal heart attacks", US_national_yearly!$D:$AM, 18, FALSE) / VLOOKUP("LULUCF|PM25|Non-fatal heart attacks", US_national_yearly!$D:$AM, 10, FALSE), 1)</f>
        <v>2.0402833193041408E-5</v>
      </c>
      <c r="K13" s="7">
        <f>$B13 * IFERROR(VLOOKUP("LULUCF|PM25|Non-fatal heart attacks", US_national_yearly!$D:$AM, 19, FALSE) / VLOOKUP("LULUCF|PM25|Non-fatal heart attacks", US_national_yearly!$D:$AM, 10, FALSE), 1)</f>
        <v>2.0772786192187195E-5</v>
      </c>
      <c r="L13" s="7">
        <f>$B13 * IFERROR(VLOOKUP("LULUCF|PM25|Non-fatal heart attacks", US_national_yearly!$D:$AM, 20, FALSE) / VLOOKUP("LULUCF|PM25|Non-fatal heart attacks", US_national_yearly!$D:$AM, 10, FALSE), 1)</f>
        <v>2.1142739191332976E-5</v>
      </c>
      <c r="M13" s="7">
        <f>$B13 * IFERROR(VLOOKUP("LULUCF|PM25|Non-fatal heart attacks", US_national_yearly!$D:$AM, 21, FALSE) / VLOOKUP("LULUCF|PM25|Non-fatal heart attacks", US_national_yearly!$D:$AM, 10, FALSE), 1)</f>
        <v>2.1512692190478763E-5</v>
      </c>
      <c r="N13" s="7">
        <f>$B13 * IFERROR(VLOOKUP("LULUCF|PM25|Non-fatal heart attacks", US_national_yearly!$D:$AM, 22, FALSE) / VLOOKUP("LULUCF|PM25|Non-fatal heart attacks", US_national_yearly!$D:$AM, 10, FALSE), 1)</f>
        <v>2.1751275343741435E-5</v>
      </c>
      <c r="O13" s="7">
        <f>$B13 * IFERROR(VLOOKUP("LULUCF|PM25|Non-fatal heart attacks", US_national_yearly!$D:$AM, 23, FALSE) / VLOOKUP("LULUCF|PM25|Non-fatal heart attacks", US_national_yearly!$D:$AM, 10, FALSE), 1)</f>
        <v>2.1989858497004113E-5</v>
      </c>
      <c r="P13" s="7">
        <f>$B13 * IFERROR(VLOOKUP("LULUCF|PM25|Non-fatal heart attacks", US_national_yearly!$D:$AM, 24, FALSE) / VLOOKUP("LULUCF|PM25|Non-fatal heart attacks", US_national_yearly!$D:$AM, 10, FALSE), 1)</f>
        <v>2.2228441650266788E-5</v>
      </c>
      <c r="Q13" s="7">
        <f>$B13 * IFERROR(VLOOKUP("LULUCF|PM25|Non-fatal heart attacks", US_national_yearly!$D:$AM, 25, FALSE) / VLOOKUP("LULUCF|PM25|Non-fatal heart attacks", US_national_yearly!$D:$AM, 10, FALSE), 1)</f>
        <v>2.246702480352946E-5</v>
      </c>
      <c r="R13" s="7">
        <f>$B13 * IFERROR(VLOOKUP("LULUCF|PM25|Non-fatal heart attacks", US_national_yearly!$D:$AM, 26, FALSE) / VLOOKUP("LULUCF|PM25|Non-fatal heart attacks", US_national_yearly!$D:$AM, 10, FALSE), 1)</f>
        <v>2.2705607956792135E-5</v>
      </c>
      <c r="S13" s="7">
        <f>$B13 * IFERROR(VLOOKUP("LULUCF|PM25|Non-fatal heart attacks", US_national_yearly!$D:$AM, 27, FALSE) / VLOOKUP("LULUCF|PM25|Non-fatal heart attacks", US_national_yearly!$D:$AM, 10, FALSE), 1)</f>
        <v>2.2831252661568925E-5</v>
      </c>
      <c r="T13" s="7">
        <f>$B13 * IFERROR(VLOOKUP("LULUCF|PM25|Non-fatal heart attacks", US_national_yearly!$D:$AM, 28, FALSE) / VLOOKUP("LULUCF|PM25|Non-fatal heart attacks", US_national_yearly!$D:$AM, 10, FALSE), 1)</f>
        <v>2.2956897366345726E-5</v>
      </c>
      <c r="U13" s="7">
        <f>$B13 * IFERROR(VLOOKUP("LULUCF|PM25|Non-fatal heart attacks", US_national_yearly!$D:$AM, 29, FALSE) / VLOOKUP("LULUCF|PM25|Non-fatal heart attacks", US_national_yearly!$D:$AM, 10, FALSE), 1)</f>
        <v>2.3082542071122524E-5</v>
      </c>
      <c r="V13" s="7">
        <f>$B13 * IFERROR(VLOOKUP("LULUCF|PM25|Non-fatal heart attacks", US_national_yearly!$D:$AM, 30, FALSE) / VLOOKUP("LULUCF|PM25|Non-fatal heart attacks", US_national_yearly!$D:$AM, 10, FALSE), 1)</f>
        <v>2.3208186775899321E-5</v>
      </c>
      <c r="W13" s="7">
        <f>$B13 * IFERROR(VLOOKUP("LULUCF|PM25|Non-fatal heart attacks", US_national_yearly!$D:$AM, 31, FALSE) / VLOOKUP("LULUCF|PM25|Non-fatal heart attacks", US_national_yearly!$D:$AM, 10, FALSE), 1)</f>
        <v>2.3333831480676115E-5</v>
      </c>
      <c r="X13" s="7">
        <f>$B13 * IFERROR(VLOOKUP("LULUCF|PM25|Non-fatal heart attacks", US_national_yearly!$D:$AM, 32, FALSE) / VLOOKUP("LULUCF|PM25|Non-fatal heart attacks", US_national_yearly!$D:$AM, 10, FALSE), 1)</f>
        <v>2.3429213979452628E-5</v>
      </c>
      <c r="Y13" s="7">
        <f>$B13 * IFERROR(VLOOKUP("LULUCF|PM25|Non-fatal heart attacks", US_national_yearly!$D:$AM, 33, FALSE) / VLOOKUP("LULUCF|PM25|Non-fatal heart attacks", US_national_yearly!$D:$AM, 10, FALSE), 1)</f>
        <v>2.3524596478229145E-5</v>
      </c>
      <c r="Z13" s="7">
        <f>$B13 * IFERROR(VLOOKUP("LULUCF|PM25|Non-fatal heart attacks", US_national_yearly!$D:$AM, 34, FALSE) / VLOOKUP("LULUCF|PM25|Non-fatal heart attacks", US_national_yearly!$D:$AM, 10, FALSE), 1)</f>
        <v>2.3619978977005658E-5</v>
      </c>
      <c r="AA13" s="7">
        <f>$B13 * IFERROR(VLOOKUP("LULUCF|PM25|Non-fatal heart attacks", US_national_yearly!$D:$AM, 35, FALSE) / VLOOKUP("LULUCF|PM25|Non-fatal heart attacks", US_national_yearly!$D:$AM, 10, FALSE), 1)</f>
        <v>2.3715361475782177E-5</v>
      </c>
      <c r="AB13" s="7">
        <f>$B13 * IFERROR(VLOOKUP("LULUCF|PM25|Non-fatal heart attacks", US_national_yearly!$D:$AM, 36, FALSE) / VLOOKUP("LULUCF|PM25|Non-fatal heart attacks", US_national_yearly!$D:$AM, 10, FALSE), 1)</f>
        <v>2.381074397455869E-5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1.0974397580861555E-2</v>
      </c>
      <c r="C14" s="7">
        <f>$B14 * IFERROR(VLOOKUP("LULUCF|PM25|Minor restricted activity days", US_national_yearly!$D:$AM, 11, FALSE) / VLOOKUP("LULUCF|PM25|Minor restricted activity days", US_national_yearly!$D:$AM, 10, FALSE), 1)</f>
        <v>1.1001198361217528E-2</v>
      </c>
      <c r="D14" s="7">
        <f>$B14 * IFERROR(VLOOKUP("LULUCF|PM25|Minor restricted activity days", US_national_yearly!$D:$AM, 12, FALSE) / VLOOKUP("LULUCF|PM25|Minor restricted activity days", US_national_yearly!$D:$AM, 10, FALSE), 1)</f>
        <v>1.1027999141573501E-2</v>
      </c>
      <c r="E14" s="7">
        <f>$B14 * IFERROR(VLOOKUP("LULUCF|PM25|Minor restricted activity days", US_national_yearly!$D:$AM, 13, FALSE) / VLOOKUP("LULUCF|PM25|Minor restricted activity days", US_national_yearly!$D:$AM, 10, FALSE), 1)</f>
        <v>1.1054799921929476E-2</v>
      </c>
      <c r="F14" s="7">
        <f>$B14 * IFERROR(VLOOKUP("LULUCF|PM25|Minor restricted activity days", US_national_yearly!$D:$AM, 14, FALSE) / VLOOKUP("LULUCF|PM25|Minor restricted activity days", US_national_yearly!$D:$AM, 10, FALSE), 1)</f>
        <v>1.1081600702285446E-2</v>
      </c>
      <c r="G14" s="7">
        <f>$B14 * IFERROR(VLOOKUP("LULUCF|PM25|Minor restricted activity days", US_national_yearly!$D:$AM, 15, FALSE) / VLOOKUP("LULUCF|PM25|Minor restricted activity days", US_national_yearly!$D:$AM, 10, FALSE), 1)</f>
        <v>1.1121144451622834E-2</v>
      </c>
      <c r="H14" s="7">
        <f>$B14 * IFERROR(VLOOKUP("LULUCF|PM25|Minor restricted activity days", US_national_yearly!$D:$AM, 16, FALSE) / VLOOKUP("LULUCF|PM25|Minor restricted activity days", US_national_yearly!$D:$AM, 10, FALSE), 1)</f>
        <v>1.1160688200960221E-2</v>
      </c>
      <c r="I14" s="7">
        <f>$B14 * IFERROR(VLOOKUP("LULUCF|PM25|Minor restricted activity days", US_national_yearly!$D:$AM, 17, FALSE) / VLOOKUP("LULUCF|PM25|Minor restricted activity days", US_national_yearly!$D:$AM, 10, FALSE), 1)</f>
        <v>1.1228289904090872E-2</v>
      </c>
      <c r="J14" s="7">
        <f>$B14 * IFERROR(VLOOKUP("LULUCF|PM25|Minor restricted activity days", US_national_yearly!$D:$AM, 18, FALSE) / VLOOKUP("LULUCF|PM25|Minor restricted activity days", US_national_yearly!$D:$AM, 10, FALSE), 1)</f>
        <v>1.1295891607221518E-2</v>
      </c>
      <c r="K14" s="7">
        <f>$B14 * IFERROR(VLOOKUP("LULUCF|PM25|Minor restricted activity days", US_national_yearly!$D:$AM, 19, FALSE) / VLOOKUP("LULUCF|PM25|Minor restricted activity days", US_national_yearly!$D:$AM, 10, FALSE), 1)</f>
        <v>1.1363493310352168E-2</v>
      </c>
      <c r="L14" s="7">
        <f>$B14 * IFERROR(VLOOKUP("LULUCF|PM25|Minor restricted activity days", US_national_yearly!$D:$AM, 20, FALSE) / VLOOKUP("LULUCF|PM25|Minor restricted activity days", US_national_yearly!$D:$AM, 10, FALSE), 1)</f>
        <v>1.1431095013482816E-2</v>
      </c>
      <c r="M14" s="7">
        <f>$B14 * IFERROR(VLOOKUP("LULUCF|PM25|Minor restricted activity days", US_national_yearly!$D:$AM, 21, FALSE) / VLOOKUP("LULUCF|PM25|Minor restricted activity days", US_national_yearly!$D:$AM, 10, FALSE), 1)</f>
        <v>1.1498696716613466E-2</v>
      </c>
      <c r="N14" s="7">
        <f>$B14 * IFERROR(VLOOKUP("LULUCF|PM25|Minor restricted activity days", US_national_yearly!$D:$AM, 22, FALSE) / VLOOKUP("LULUCF|PM25|Minor restricted activity days", US_national_yearly!$D:$AM, 10, FALSE), 1)</f>
        <v>1.1590783695752565E-2</v>
      </c>
      <c r="O14" s="7">
        <f>$B14 * IFERROR(VLOOKUP("LULUCF|PM25|Minor restricted activity days", US_national_yearly!$D:$AM, 23, FALSE) / VLOOKUP("LULUCF|PM25|Minor restricted activity days", US_national_yearly!$D:$AM, 10, FALSE), 1)</f>
        <v>1.1682870674891663E-2</v>
      </c>
      <c r="P14" s="7">
        <f>$B14 * IFERROR(VLOOKUP("LULUCF|PM25|Minor restricted activity days", US_national_yearly!$D:$AM, 24, FALSE) / VLOOKUP("LULUCF|PM25|Minor restricted activity days", US_national_yearly!$D:$AM, 10, FALSE), 1)</f>
        <v>1.1774957654030764E-2</v>
      </c>
      <c r="Q14" s="7">
        <f>$B14 * IFERROR(VLOOKUP("LULUCF|PM25|Minor restricted activity days", US_national_yearly!$D:$AM, 25, FALSE) / VLOOKUP("LULUCF|PM25|Minor restricted activity days", US_national_yearly!$D:$AM, 10, FALSE), 1)</f>
        <v>1.1867044633169862E-2</v>
      </c>
      <c r="R14" s="7">
        <f>$B14 * IFERROR(VLOOKUP("LULUCF|PM25|Minor restricted activity days", US_national_yearly!$D:$AM, 26, FALSE) / VLOOKUP("LULUCF|PM25|Minor restricted activity days", US_national_yearly!$D:$AM, 10, FALSE), 1)</f>
        <v>1.195913161230896E-2</v>
      </c>
      <c r="S14" s="7">
        <f>$B14 * IFERROR(VLOOKUP("LULUCF|PM25|Minor restricted activity days", US_national_yearly!$D:$AM, 27, FALSE) / VLOOKUP("LULUCF|PM25|Minor restricted activity days", US_national_yearly!$D:$AM, 10, FALSE), 1)</f>
        <v>1.2051852764298383E-2</v>
      </c>
      <c r="T14" s="7">
        <f>$B14 * IFERROR(VLOOKUP("LULUCF|PM25|Minor restricted activity days", US_national_yearly!$D:$AM, 28, FALSE) / VLOOKUP("LULUCF|PM25|Minor restricted activity days", US_national_yearly!$D:$AM, 10, FALSE), 1)</f>
        <v>1.2144573916287808E-2</v>
      </c>
      <c r="U14" s="7">
        <f>$B14 * IFERROR(VLOOKUP("LULUCF|PM25|Minor restricted activity days", US_national_yearly!$D:$AM, 29, FALSE) / VLOOKUP("LULUCF|PM25|Minor restricted activity days", US_national_yearly!$D:$AM, 10, FALSE), 1)</f>
        <v>1.2237295068277233E-2</v>
      </c>
      <c r="V14" s="7">
        <f>$B14 * IFERROR(VLOOKUP("LULUCF|PM25|Minor restricted activity days", US_national_yearly!$D:$AM, 30, FALSE) / VLOOKUP("LULUCF|PM25|Minor restricted activity days", US_national_yearly!$D:$AM, 10, FALSE), 1)</f>
        <v>1.2330016220266657E-2</v>
      </c>
      <c r="W14" s="7">
        <f>$B14 * IFERROR(VLOOKUP("LULUCF|PM25|Minor restricted activity days", US_national_yearly!$D:$AM, 31, FALSE) / VLOOKUP("LULUCF|PM25|Minor restricted activity days", US_national_yearly!$D:$AM, 10, FALSE), 1)</f>
        <v>1.2422737372256082E-2</v>
      </c>
      <c r="X14" s="7">
        <f>$B14 * IFERROR(VLOOKUP("LULUCF|PM25|Minor restricted activity days", US_national_yearly!$D:$AM, 32, FALSE) / VLOOKUP("LULUCF|PM25|Minor restricted activity days", US_national_yearly!$D:$AM, 10, FALSE), 1)</f>
        <v>1.2503228660108267E-2</v>
      </c>
      <c r="Y14" s="7">
        <f>$B14 * IFERROR(VLOOKUP("LULUCF|PM25|Minor restricted activity days", US_national_yearly!$D:$AM, 33, FALSE) / VLOOKUP("LULUCF|PM25|Minor restricted activity days", US_national_yearly!$D:$AM, 10, FALSE), 1)</f>
        <v>1.2583719947960452E-2</v>
      </c>
      <c r="Z14" s="7">
        <f>$B14 * IFERROR(VLOOKUP("LULUCF|PM25|Minor restricted activity days", US_national_yearly!$D:$AM, 34, FALSE) / VLOOKUP("LULUCF|PM25|Minor restricted activity days", US_national_yearly!$D:$AM, 10, FALSE), 1)</f>
        <v>1.2664211235812637E-2</v>
      </c>
      <c r="AA14" s="7">
        <f>$B14 * IFERROR(VLOOKUP("LULUCF|PM25|Minor restricted activity days", US_national_yearly!$D:$AM, 35, FALSE) / VLOOKUP("LULUCF|PM25|Minor restricted activity days", US_national_yearly!$D:$AM, 10, FALSE), 1)</f>
        <v>1.2744702523664818E-2</v>
      </c>
      <c r="AB14" s="7">
        <f>$B14 * IFERROR(VLOOKUP("LULUCF|PM25|Minor restricted activity days", US_national_yearly!$D:$AM, 36, FALSE) / VLOOKUP("LULUCF|PM25|Minor restricted activity days", US_national_yearly!$D:$AM, 10, FALSE), 1)</f>
        <v>1.2825193811517003E-2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1.8590180344365552E-3</v>
      </c>
      <c r="C15" s="7">
        <f>$B15 * IFERROR(VLOOKUP("LULUCF|PM25|Work loss days", US_national_yearly!$D:$AM, 11, FALSE) / VLOOKUP("LULUCF|PM25|Work loss days", US_national_yearly!$D:$AM, 10, FALSE), 1)</f>
        <v>1.8647803207793045E-3</v>
      </c>
      <c r="D15" s="7">
        <f>$B15 * IFERROR(VLOOKUP("LULUCF|PM25|Work loss days", US_national_yearly!$D:$AM, 12, FALSE) / VLOOKUP("LULUCF|PM25|Work loss days", US_national_yearly!$D:$AM, 10, FALSE), 1)</f>
        <v>1.8705426071220544E-3</v>
      </c>
      <c r="E15" s="7">
        <f>$B15 * IFERROR(VLOOKUP("LULUCF|PM25|Work loss days", US_national_yearly!$D:$AM, 13, FALSE) / VLOOKUP("LULUCF|PM25|Work loss days", US_national_yearly!$D:$AM, 10, FALSE), 1)</f>
        <v>1.8763048934648037E-3</v>
      </c>
      <c r="F15" s="7">
        <f>$B15 * IFERROR(VLOOKUP("LULUCF|PM25|Work loss days", US_national_yearly!$D:$AM, 14, FALSE) / VLOOKUP("LULUCF|PM25|Work loss days", US_national_yearly!$D:$AM, 10, FALSE), 1)</f>
        <v>1.882067179807553E-3</v>
      </c>
      <c r="G15" s="7">
        <f>$B15 * IFERROR(VLOOKUP("LULUCF|PM25|Work loss days", US_national_yearly!$D:$AM, 15, FALSE) / VLOOKUP("LULUCF|PM25|Work loss days", US_national_yearly!$D:$AM, 10, FALSE), 1)</f>
        <v>1.8896219048999156E-3</v>
      </c>
      <c r="H15" s="7">
        <f>$B15 * IFERROR(VLOOKUP("LULUCF|PM25|Work loss days", US_national_yearly!$D:$AM, 16, FALSE) / VLOOKUP("LULUCF|PM25|Work loss days", US_national_yearly!$D:$AM, 10, FALSE), 1)</f>
        <v>1.8971766299922788E-3</v>
      </c>
      <c r="I15" s="7">
        <f>$B15 * IFERROR(VLOOKUP("LULUCF|PM25|Work loss days", US_national_yearly!$D:$AM, 17, FALSE) / VLOOKUP("LULUCF|PM25|Work loss days", US_national_yearly!$D:$AM, 10, FALSE), 1)</f>
        <v>1.9083017935965262E-3</v>
      </c>
      <c r="J15" s="7">
        <f>$B15 * IFERROR(VLOOKUP("LULUCF|PM25|Work loss days", US_national_yearly!$D:$AM, 18, FALSE) / VLOOKUP("LULUCF|PM25|Work loss days", US_national_yearly!$D:$AM, 10, FALSE), 1)</f>
        <v>1.9194269572007736E-3</v>
      </c>
      <c r="K15" s="7">
        <f>$B15 * IFERROR(VLOOKUP("LULUCF|PM25|Work loss days", US_national_yearly!$D:$AM, 19, FALSE) / VLOOKUP("LULUCF|PM25|Work loss days", US_national_yearly!$D:$AM, 10, FALSE), 1)</f>
        <v>1.930552120805021E-3</v>
      </c>
      <c r="L15" s="7">
        <f>$B15 * IFERROR(VLOOKUP("LULUCF|PM25|Work loss days", US_national_yearly!$D:$AM, 20, FALSE) / VLOOKUP("LULUCF|PM25|Work loss days", US_national_yearly!$D:$AM, 10, FALSE), 1)</f>
        <v>1.9416772844092686E-3</v>
      </c>
      <c r="M15" s="7">
        <f>$B15 * IFERROR(VLOOKUP("LULUCF|PM25|Work loss days", US_national_yearly!$D:$AM, 21, FALSE) / VLOOKUP("LULUCF|PM25|Work loss days", US_national_yearly!$D:$AM, 10, FALSE), 1)</f>
        <v>1.9528024480135161E-3</v>
      </c>
      <c r="N15" s="7">
        <f>$B15 * IFERROR(VLOOKUP("LULUCF|PM25|Work loss days", US_national_yearly!$D:$AM, 22, FALSE) / VLOOKUP("LULUCF|PM25|Work loss days", US_national_yearly!$D:$AM, 10, FALSE), 1)</f>
        <v>1.9668043084597564E-3</v>
      </c>
      <c r="O15" s="7">
        <f>$B15 * IFERROR(VLOOKUP("LULUCF|PM25|Work loss days", US_national_yearly!$D:$AM, 23, FALSE) / VLOOKUP("LULUCF|PM25|Work loss days", US_national_yearly!$D:$AM, 10, FALSE), 1)</f>
        <v>1.9808061689059967E-3</v>
      </c>
      <c r="P15" s="7">
        <f>$B15 * IFERROR(VLOOKUP("LULUCF|PM25|Work loss days", US_national_yearly!$D:$AM, 24, FALSE) / VLOOKUP("LULUCF|PM25|Work loss days", US_national_yearly!$D:$AM, 10, FALSE), 1)</f>
        <v>1.994808029352237E-3</v>
      </c>
      <c r="Q15" s="7">
        <f>$B15 * IFERROR(VLOOKUP("LULUCF|PM25|Work loss days", US_national_yearly!$D:$AM, 25, FALSE) / VLOOKUP("LULUCF|PM25|Work loss days", US_national_yearly!$D:$AM, 10, FALSE), 1)</f>
        <v>2.0088098897984769E-3</v>
      </c>
      <c r="R15" s="7">
        <f>$B15 * IFERROR(VLOOKUP("LULUCF|PM25|Work loss days", US_national_yearly!$D:$AM, 26, FALSE) / VLOOKUP("LULUCF|PM25|Work loss days", US_national_yearly!$D:$AM, 10, FALSE), 1)</f>
        <v>2.0228117502447177E-3</v>
      </c>
      <c r="S15" s="7">
        <f>$B15 * IFERROR(VLOOKUP("LULUCF|PM25|Work loss days", US_national_yearly!$D:$AM, 27, FALSE) / VLOOKUP("LULUCF|PM25|Work loss days", US_national_yearly!$D:$AM, 10, FALSE), 1)</f>
        <v>2.0382984056860317E-3</v>
      </c>
      <c r="T15" s="7">
        <f>$B15 * IFERROR(VLOOKUP("LULUCF|PM25|Work loss days", US_national_yearly!$D:$AM, 28, FALSE) / VLOOKUP("LULUCF|PM25|Work loss days", US_national_yearly!$D:$AM, 10, FALSE), 1)</f>
        <v>2.0537850611273461E-3</v>
      </c>
      <c r="U15" s="7">
        <f>$B15 * IFERROR(VLOOKUP("LULUCF|PM25|Work loss days", US_national_yearly!$D:$AM, 29, FALSE) / VLOOKUP("LULUCF|PM25|Work loss days", US_national_yearly!$D:$AM, 10, FALSE), 1)</f>
        <v>2.0692717165686596E-3</v>
      </c>
      <c r="V15" s="7">
        <f>$B15 * IFERROR(VLOOKUP("LULUCF|PM25|Work loss days", US_national_yearly!$D:$AM, 30, FALSE) / VLOOKUP("LULUCF|PM25|Work loss days", US_national_yearly!$D:$AM, 10, FALSE), 1)</f>
        <v>2.084758372009974E-3</v>
      </c>
      <c r="W15" s="7">
        <f>$B15 * IFERROR(VLOOKUP("LULUCF|PM25|Work loss days", US_national_yearly!$D:$AM, 31, FALSE) / VLOOKUP("LULUCF|PM25|Work loss days", US_national_yearly!$D:$AM, 10, FALSE), 1)</f>
        <v>2.1002450274512879E-3</v>
      </c>
      <c r="X15" s="7">
        <f>$B15 * IFERROR(VLOOKUP("LULUCF|PM25|Work loss days", US_national_yearly!$D:$AM, 32, FALSE) / VLOOKUP("LULUCF|PM25|Work loss days", US_national_yearly!$D:$AM, 10, FALSE), 1)</f>
        <v>2.1139858676348044E-3</v>
      </c>
      <c r="Y15" s="7">
        <f>$B15 * IFERROR(VLOOKUP("LULUCF|PM25|Work loss days", US_national_yearly!$D:$AM, 33, FALSE) / VLOOKUP("LULUCF|PM25|Work loss days", US_national_yearly!$D:$AM, 10, FALSE), 1)</f>
        <v>2.1277267078183212E-3</v>
      </c>
      <c r="Z15" s="7">
        <f>$B15 * IFERROR(VLOOKUP("LULUCF|PM25|Work loss days", US_national_yearly!$D:$AM, 34, FALSE) / VLOOKUP("LULUCF|PM25|Work loss days", US_national_yearly!$D:$AM, 10, FALSE), 1)</f>
        <v>2.1414675480018381E-3</v>
      </c>
      <c r="AA15" s="7">
        <f>$B15 * IFERROR(VLOOKUP("LULUCF|PM25|Work loss days", US_national_yearly!$D:$AM, 35, FALSE) / VLOOKUP("LULUCF|PM25|Work loss days", US_national_yearly!$D:$AM, 10, FALSE), 1)</f>
        <v>2.1552083881853554E-3</v>
      </c>
      <c r="AB15" s="7">
        <f>$B15 * IFERROR(VLOOKUP("LULUCF|PM25|Work loss days", US_national_yearly!$D:$AM, 36, FALSE) / VLOOKUP("LULUCF|PM25|Work loss days", US_national_yearly!$D:$AM, 10, FALSE), 1)</f>
        <v>2.1689492283688719E-3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3.2376076377267617E-6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3.3343496115804167E-6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3.4310915854340725E-6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3.5278335592877284E-6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3.6245755331413843E-6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3.7172370633887581E-6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3.8098985936361336E-6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3.8891478216256349E-6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3.9683970496151346E-6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4.047646277604635E-6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4.1268955055941364E-6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4.2061447335836368E-6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4.2589820032497606E-6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4.3118192729158861E-6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4.3646565425820099E-6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4.4174938122481354E-6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4.47033108191426E-6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4.4982869305116049E-6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4.5262427791089507E-6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4.5541986277062948E-6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4.5821544763036397E-6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4.6101103249009846E-6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4.6289305699071148E-6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4.6477508149132441E-6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4.6665710599193743E-6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4.6853913049255036E-6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4.7042115499316338E-6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3.7532281884812163E-5</v>
      </c>
      <c r="C2" s="7">
        <f>$B2 * IFERROR(VLOOKUP("LULUCF|NOx|Premature mortality", US_national_yearly!$D:$AM, 11, FALSE) / VLOOKUP("LULUCF|NOx|Premature mortality", US_national_yearly!$D:$AM, 10, FALSE), 1)</f>
        <v>3.8083567666637764E-5</v>
      </c>
      <c r="D2" s="7">
        <f>$B2 * IFERROR(VLOOKUP("LULUCF|NOx|Premature mortality", US_national_yearly!$D:$AM, 12, FALSE) / VLOOKUP("LULUCF|NOx|Premature mortality", US_national_yearly!$D:$AM, 10, FALSE), 1)</f>
        <v>3.8634853448463352E-5</v>
      </c>
      <c r="E2" s="7">
        <f>$B2 * IFERROR(VLOOKUP("LULUCF|NOx|Premature mortality", US_national_yearly!$D:$AM, 13, FALSE) / VLOOKUP("LULUCF|NOx|Premature mortality", US_national_yearly!$D:$AM, 10, FALSE), 1)</f>
        <v>3.9186139230288954E-5</v>
      </c>
      <c r="F2" s="7">
        <f>$B2 * IFERROR(VLOOKUP("LULUCF|NOx|Premature mortality", US_national_yearly!$D:$AM, 14, FALSE) / VLOOKUP("LULUCF|NOx|Premature mortality", US_national_yearly!$D:$AM, 10, FALSE), 1)</f>
        <v>3.9737425012114548E-5</v>
      </c>
      <c r="G2" s="7">
        <f>$B2 * IFERROR(VLOOKUP("LULUCF|NOx|Premature mortality", US_national_yearly!$D:$AM, 15, FALSE) / VLOOKUP("LULUCF|NOx|Premature mortality", US_national_yearly!$D:$AM, 10, FALSE), 1)</f>
        <v>4.0727664613575645E-5</v>
      </c>
      <c r="H2" s="7">
        <f>$B2 * IFERROR(VLOOKUP("LULUCF|NOx|Premature mortality", US_national_yearly!$D:$AM, 16, FALSE) / VLOOKUP("LULUCF|NOx|Premature mortality", US_national_yearly!$D:$AM, 10, FALSE), 1)</f>
        <v>4.1717904215036756E-5</v>
      </c>
      <c r="I2" s="7">
        <f>$B2 * IFERROR(VLOOKUP("LULUCF|NOx|Premature mortality", US_national_yearly!$D:$AM, 17, FALSE) / VLOOKUP("LULUCF|NOx|Premature mortality", US_national_yearly!$D:$AM, 10, FALSE), 1)</f>
        <v>4.2357122661273453E-5</v>
      </c>
      <c r="J2" s="7">
        <f>$B2 * IFERROR(VLOOKUP("LULUCF|NOx|Premature mortality", US_national_yearly!$D:$AM, 18, FALSE) / VLOOKUP("LULUCF|NOx|Premature mortality", US_national_yearly!$D:$AM, 10, FALSE), 1)</f>
        <v>4.2996341107510157E-5</v>
      </c>
      <c r="K2" s="7">
        <f>$B2 * IFERROR(VLOOKUP("LULUCF|NOx|Premature mortality", US_national_yearly!$D:$AM, 19, FALSE) / VLOOKUP("LULUCF|NOx|Premature mortality", US_national_yearly!$D:$AM, 10, FALSE), 1)</f>
        <v>4.3635559553746855E-5</v>
      </c>
      <c r="L2" s="7">
        <f>$B2 * IFERROR(VLOOKUP("LULUCF|NOx|Premature mortality", US_national_yearly!$D:$AM, 20, FALSE) / VLOOKUP("LULUCF|NOx|Premature mortality", US_national_yearly!$D:$AM, 10, FALSE), 1)</f>
        <v>4.4274777999983552E-5</v>
      </c>
      <c r="M2" s="7">
        <f>$B2 * IFERROR(VLOOKUP("LULUCF|NOx|Premature mortality", US_national_yearly!$D:$AM, 21, FALSE) / VLOOKUP("LULUCF|NOx|Premature mortality", US_national_yearly!$D:$AM, 10, FALSE), 1)</f>
        <v>4.4913996446220256E-5</v>
      </c>
      <c r="N2" s="7">
        <f>$B2 * IFERROR(VLOOKUP("LULUCF|NOx|Premature mortality", US_national_yearly!$D:$AM, 22, FALSE) / VLOOKUP("LULUCF|NOx|Premature mortality", US_national_yearly!$D:$AM, 10, FALSE), 1)</f>
        <v>4.5387526986202761E-5</v>
      </c>
      <c r="O2" s="7">
        <f>$B2 * IFERROR(VLOOKUP("LULUCF|NOx|Premature mortality", US_national_yearly!$D:$AM, 23, FALSE) / VLOOKUP("LULUCF|NOx|Premature mortality", US_national_yearly!$D:$AM, 10, FALSE), 1)</f>
        <v>4.5861057526185265E-5</v>
      </c>
      <c r="P2" s="7">
        <f>$B2 * IFERROR(VLOOKUP("LULUCF|NOx|Premature mortality", US_national_yearly!$D:$AM, 24, FALSE) / VLOOKUP("LULUCF|NOx|Premature mortality", US_national_yearly!$D:$AM, 10, FALSE), 1)</f>
        <v>4.6334588066167763E-5</v>
      </c>
      <c r="Q2" s="7">
        <f>$B2 * IFERROR(VLOOKUP("LULUCF|NOx|Premature mortality", US_national_yearly!$D:$AM, 25, FALSE) / VLOOKUP("LULUCF|NOx|Premature mortality", US_national_yearly!$D:$AM, 10, FALSE), 1)</f>
        <v>4.6808118606150275E-5</v>
      </c>
      <c r="R2" s="7">
        <f>$B2 * IFERROR(VLOOKUP("LULUCF|NOx|Premature mortality", US_national_yearly!$D:$AM, 26, FALSE) / VLOOKUP("LULUCF|NOx|Premature mortality", US_national_yearly!$D:$AM, 10, FALSE), 1)</f>
        <v>4.7281649146132779E-5</v>
      </c>
      <c r="S2" s="7">
        <f>$B2 * IFERROR(VLOOKUP("LULUCF|NOx|Premature mortality", US_national_yearly!$D:$AM, 27, FALSE) / VLOOKUP("LULUCF|NOx|Premature mortality", US_national_yearly!$D:$AM, 10, FALSE), 1)</f>
        <v>4.7496873544943995E-5</v>
      </c>
      <c r="T2" s="7">
        <f>$B2 * IFERROR(VLOOKUP("LULUCF|NOx|Premature mortality", US_national_yearly!$D:$AM, 28, FALSE) / VLOOKUP("LULUCF|NOx|Premature mortality", US_national_yearly!$D:$AM, 10, FALSE), 1)</f>
        <v>4.7712097943755225E-5</v>
      </c>
      <c r="U2" s="7">
        <f>$B2 * IFERROR(VLOOKUP("LULUCF|NOx|Premature mortality", US_national_yearly!$D:$AM, 29, FALSE) / VLOOKUP("LULUCF|NOx|Premature mortality", US_national_yearly!$D:$AM, 10, FALSE), 1)</f>
        <v>4.7927322342566441E-5</v>
      </c>
      <c r="V2" s="7">
        <f>$B2 * IFERROR(VLOOKUP("LULUCF|NOx|Premature mortality", US_national_yearly!$D:$AM, 30, FALSE) / VLOOKUP("LULUCF|NOx|Premature mortality", US_national_yearly!$D:$AM, 10, FALSE), 1)</f>
        <v>4.8142546741377657E-5</v>
      </c>
      <c r="W2" s="7">
        <f>$B2 * IFERROR(VLOOKUP("LULUCF|NOx|Premature mortality", US_national_yearly!$D:$AM, 31, FALSE) / VLOOKUP("LULUCF|NOx|Premature mortality", US_national_yearly!$D:$AM, 10, FALSE), 1)</f>
        <v>4.835777114018888E-5</v>
      </c>
      <c r="X2" s="7">
        <f>$B2 * IFERROR(VLOOKUP("LULUCF|NOx|Premature mortality", US_national_yearly!$D:$AM, 32, FALSE) / VLOOKUP("LULUCF|NOx|Premature mortality", US_national_yearly!$D:$AM, 10, FALSE), 1)</f>
        <v>4.8365226389823909E-5</v>
      </c>
      <c r="Y2" s="7">
        <f>$B2 * IFERROR(VLOOKUP("LULUCF|NOx|Premature mortality", US_national_yearly!$D:$AM, 33, FALSE) / VLOOKUP("LULUCF|NOx|Premature mortality", US_national_yearly!$D:$AM, 10, FALSE), 1)</f>
        <v>4.8372681639458938E-5</v>
      </c>
      <c r="Z2" s="7">
        <f>$B2 * IFERROR(VLOOKUP("LULUCF|NOx|Premature mortality", US_national_yearly!$D:$AM, 34, FALSE) / VLOOKUP("LULUCF|NOx|Premature mortality", US_national_yearly!$D:$AM, 10, FALSE), 1)</f>
        <v>4.838013688909396E-5</v>
      </c>
      <c r="AA2" s="7">
        <f>$B2 * IFERROR(VLOOKUP("LULUCF|NOx|Premature mortality", US_national_yearly!$D:$AM, 35, FALSE) / VLOOKUP("LULUCF|NOx|Premature mortality", US_national_yearly!$D:$AM, 10, FALSE), 1)</f>
        <v>4.8387592138728996E-5</v>
      </c>
      <c r="AB2" s="7">
        <f>$B2 * IFERROR(VLOOKUP("LULUCF|NOx|Premature mortality", US_national_yearly!$D:$AM, 36, FALSE) / VLOOKUP("LULUCF|NOx|Premature mortality", US_national_yearly!$D:$AM, 10, FALSE), 1)</f>
        <v>4.8395047388364025E-5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1.160757186214753E-7</v>
      </c>
      <c r="C3" s="7">
        <f>$B3 * IFERROR(VLOOKUP("LULUCF|NOx|Infant mortality", US_national_yearly!$D:$AM, 11, FALSE) / VLOOKUP("LULUCF|NOx|Infant mortality", US_national_yearly!$D:$AM, 10, FALSE), 1)</f>
        <v>1.1496980162181204E-7</v>
      </c>
      <c r="D3" s="7">
        <f>$B3 * IFERROR(VLOOKUP("LULUCF|NOx|Infant mortality", US_national_yearly!$D:$AM, 12, FALSE) / VLOOKUP("LULUCF|NOx|Infant mortality", US_national_yearly!$D:$AM, 10, FALSE), 1)</f>
        <v>1.1386388462214878E-7</v>
      </c>
      <c r="E3" s="7">
        <f>$B3 * IFERROR(VLOOKUP("LULUCF|NOx|Infant mortality", US_national_yearly!$D:$AM, 13, FALSE) / VLOOKUP("LULUCF|NOx|Infant mortality", US_national_yearly!$D:$AM, 10, FALSE), 1)</f>
        <v>1.1275796762248553E-7</v>
      </c>
      <c r="F3" s="7">
        <f>$B3 * IFERROR(VLOOKUP("LULUCF|NOx|Infant mortality", US_national_yearly!$D:$AM, 14, FALSE) / VLOOKUP("LULUCF|NOx|Infant mortality", US_national_yearly!$D:$AM, 10, FALSE), 1)</f>
        <v>1.1165205062282228E-7</v>
      </c>
      <c r="G3" s="7">
        <f>$B3 * IFERROR(VLOOKUP("LULUCF|NOx|Infant mortality", US_national_yearly!$D:$AM, 15, FALSE) / VLOOKUP("LULUCF|NOx|Infant mortality", US_national_yearly!$D:$AM, 10, FALSE), 1)</f>
        <v>7.4120144691403399E-8</v>
      </c>
      <c r="H3" s="7">
        <f>$B3 * IFERROR(VLOOKUP("LULUCF|NOx|Infant mortality", US_national_yearly!$D:$AM, 16, FALSE) / VLOOKUP("LULUCF|NOx|Infant mortality", US_national_yearly!$D:$AM, 10, FALSE), 1)</f>
        <v>3.6588238759984536E-8</v>
      </c>
      <c r="I3" s="7">
        <f>$B3 * IFERROR(VLOOKUP("LULUCF|NOx|Infant mortality", US_national_yearly!$D:$AM, 17, FALSE) / VLOOKUP("LULUCF|NOx|Infant mortality", US_national_yearly!$D:$AM, 10, FALSE), 1)</f>
        <v>3.6329524977358722E-8</v>
      </c>
      <c r="J3" s="7">
        <f>$B3 * IFERROR(VLOOKUP("LULUCF|NOx|Infant mortality", US_national_yearly!$D:$AM, 18, FALSE) / VLOOKUP("LULUCF|NOx|Infant mortality", US_national_yearly!$D:$AM, 10, FALSE), 1)</f>
        <v>3.6070811194732896E-8</v>
      </c>
      <c r="K3" s="7">
        <f>$B3 * IFERROR(VLOOKUP("LULUCF|NOx|Infant mortality", US_national_yearly!$D:$AM, 19, FALSE) / VLOOKUP("LULUCF|NOx|Infant mortality", US_national_yearly!$D:$AM, 10, FALSE), 1)</f>
        <v>3.5812097412107083E-8</v>
      </c>
      <c r="L3" s="7">
        <f>$B3 * IFERROR(VLOOKUP("LULUCF|NOx|Infant mortality", US_national_yearly!$D:$AM, 20, FALSE) / VLOOKUP("LULUCF|NOx|Infant mortality", US_national_yearly!$D:$AM, 10, FALSE), 1)</f>
        <v>3.5553383629481264E-8</v>
      </c>
      <c r="M3" s="7">
        <f>$B3 * IFERROR(VLOOKUP("LULUCF|NOx|Infant mortality", US_national_yearly!$D:$AM, 21, FALSE) / VLOOKUP("LULUCF|NOx|Infant mortality", US_national_yearly!$D:$AM, 10, FALSE), 1)</f>
        <v>3.5294669846855444E-8</v>
      </c>
      <c r="N3" s="7">
        <f>$B3 * IFERROR(VLOOKUP("LULUCF|NOx|Infant mortality", US_national_yearly!$D:$AM, 22, FALSE) / VLOOKUP("LULUCF|NOx|Infant mortality", US_national_yearly!$D:$AM, 10, FALSE), 1)</f>
        <v>3.5122946455414483E-8</v>
      </c>
      <c r="O3" s="7">
        <f>$B3 * IFERROR(VLOOKUP("LULUCF|NOx|Infant mortality", US_national_yearly!$D:$AM, 23, FALSE) / VLOOKUP("LULUCF|NOx|Infant mortality", US_national_yearly!$D:$AM, 10, FALSE), 1)</f>
        <v>3.4951223063973528E-8</v>
      </c>
      <c r="P3" s="7">
        <f>$B3 * IFERROR(VLOOKUP("LULUCF|NOx|Infant mortality", US_national_yearly!$D:$AM, 24, FALSE) / VLOOKUP("LULUCF|NOx|Infant mortality", US_national_yearly!$D:$AM, 10, FALSE), 1)</f>
        <v>3.4779499672532567E-8</v>
      </c>
      <c r="Q3" s="7">
        <f>$B3 * IFERROR(VLOOKUP("LULUCF|NOx|Infant mortality", US_national_yearly!$D:$AM, 25, FALSE) / VLOOKUP("LULUCF|NOx|Infant mortality", US_national_yearly!$D:$AM, 10, FALSE), 1)</f>
        <v>3.4607776281091605E-8</v>
      </c>
      <c r="R3" s="7">
        <f>$B3 * IFERROR(VLOOKUP("LULUCF|NOx|Infant mortality", US_national_yearly!$D:$AM, 26, FALSE) / VLOOKUP("LULUCF|NOx|Infant mortality", US_national_yearly!$D:$AM, 10, FALSE), 1)</f>
        <v>3.443605288965065E-8</v>
      </c>
      <c r="S3" s="7">
        <f>$B3 * IFERROR(VLOOKUP("LULUCF|NOx|Infant mortality", US_national_yearly!$D:$AM, 27, FALSE) / VLOOKUP("LULUCF|NOx|Infant mortality", US_national_yearly!$D:$AM, 10, FALSE), 1)</f>
        <v>3.4229614065027936E-8</v>
      </c>
      <c r="T3" s="7">
        <f>$B3 * IFERROR(VLOOKUP("LULUCF|NOx|Infant mortality", US_national_yearly!$D:$AM, 28, FALSE) / VLOOKUP("LULUCF|NOx|Infant mortality", US_national_yearly!$D:$AM, 10, FALSE), 1)</f>
        <v>3.4023175240405228E-8</v>
      </c>
      <c r="U3" s="7">
        <f>$B3 * IFERROR(VLOOKUP("LULUCF|NOx|Infant mortality", US_national_yearly!$D:$AM, 29, FALSE) / VLOOKUP("LULUCF|NOx|Infant mortality", US_national_yearly!$D:$AM, 10, FALSE), 1)</f>
        <v>3.381673641578252E-8</v>
      </c>
      <c r="V3" s="7">
        <f>$B3 * IFERROR(VLOOKUP("LULUCF|NOx|Infant mortality", US_national_yearly!$D:$AM, 30, FALSE) / VLOOKUP("LULUCF|NOx|Infant mortality", US_national_yearly!$D:$AM, 10, FALSE), 1)</f>
        <v>3.3610297591159805E-8</v>
      </c>
      <c r="W3" s="7">
        <f>$B3 * IFERROR(VLOOKUP("LULUCF|NOx|Infant mortality", US_national_yearly!$D:$AM, 31, FALSE) / VLOOKUP("LULUCF|NOx|Infant mortality", US_national_yearly!$D:$AM, 10, FALSE), 1)</f>
        <v>3.3403858766537097E-8</v>
      </c>
      <c r="X3" s="7">
        <f>$B3 * IFERROR(VLOOKUP("LULUCF|NOx|Infant mortality", US_national_yearly!$D:$AM, 32, FALSE) / VLOOKUP("LULUCF|NOx|Infant mortality", US_national_yearly!$D:$AM, 10, FALSE), 1)</f>
        <v>3.3185230068287541E-8</v>
      </c>
      <c r="Y3" s="7">
        <f>$B3 * IFERROR(VLOOKUP("LULUCF|NOx|Infant mortality", US_national_yearly!$D:$AM, 33, FALSE) / VLOOKUP("LULUCF|NOx|Infant mortality", US_national_yearly!$D:$AM, 10, FALSE), 1)</f>
        <v>3.2966601370037978E-8</v>
      </c>
      <c r="Z3" s="7">
        <f>$B3 * IFERROR(VLOOKUP("LULUCF|NOx|Infant mortality", US_national_yearly!$D:$AM, 34, FALSE) / VLOOKUP("LULUCF|NOx|Infant mortality", US_national_yearly!$D:$AM, 10, FALSE), 1)</f>
        <v>3.2747972671788416E-8</v>
      </c>
      <c r="AA3" s="7">
        <f>$B3 * IFERROR(VLOOKUP("LULUCF|NOx|Infant mortality", US_national_yearly!$D:$AM, 35, FALSE) / VLOOKUP("LULUCF|NOx|Infant mortality", US_national_yearly!$D:$AM, 10, FALSE), 1)</f>
        <v>3.2529343973538853E-8</v>
      </c>
      <c r="AB3" s="7">
        <f>$B3 * IFERROR(VLOOKUP("LULUCF|NOx|Infant mortality", US_national_yearly!$D:$AM, 36, FALSE) / VLOOKUP("LULUCF|NOx|Infant mortality", US_national_yearly!$D:$AM, 10, FALSE), 1)</f>
        <v>3.231071527528929E-8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1.0320920507639228E-4</v>
      </c>
      <c r="C6" s="7">
        <f>$B6 * IFERROR(VLOOKUP("LULUCF|NOx|Asthma symptoms cough", US_national_yearly!$D:$AM, 11, FALSE) / VLOOKUP("LULUCF|NOx|Asthma symptoms cough", US_national_yearly!$D:$AM, 10, FALSE), 1)</f>
        <v>1.0462024365015733E-4</v>
      </c>
      <c r="D6" s="7">
        <f>$B6 * IFERROR(VLOOKUP("LULUCF|NOx|Asthma symptoms cough", US_national_yearly!$D:$AM, 12, FALSE) / VLOOKUP("LULUCF|NOx|Asthma symptoms cough", US_national_yearly!$D:$AM, 10, FALSE), 1)</f>
        <v>1.0603128222392239E-4</v>
      </c>
      <c r="E6" s="7">
        <f>$B6 * IFERROR(VLOOKUP("LULUCF|NOx|Asthma symptoms cough", US_national_yearly!$D:$AM, 13, FALSE) / VLOOKUP("LULUCF|NOx|Asthma symptoms cough", US_national_yearly!$D:$AM, 10, FALSE), 1)</f>
        <v>1.0744232079768744E-4</v>
      </c>
      <c r="F6" s="7">
        <f>$B6 * IFERROR(VLOOKUP("LULUCF|NOx|Asthma symptoms cough", US_national_yearly!$D:$AM, 14, FALSE) / VLOOKUP("LULUCF|NOx|Asthma symptoms cough", US_national_yearly!$D:$AM, 10, FALSE), 1)</f>
        <v>1.088533593714525E-4</v>
      </c>
      <c r="G6" s="7">
        <f>$B6 * IFERROR(VLOOKUP("LULUCF|NOx|Asthma symptoms cough", US_national_yearly!$D:$AM, 15, FALSE) / VLOOKUP("LULUCF|NOx|Asthma symptoms cough", US_national_yearly!$D:$AM, 10, FALSE), 1)</f>
        <v>1.0997987649328457E-4</v>
      </c>
      <c r="H6" s="7">
        <f>$B6 * IFERROR(VLOOKUP("LULUCF|NOx|Asthma symptoms cough", US_national_yearly!$D:$AM, 16, FALSE) / VLOOKUP("LULUCF|NOx|Asthma symptoms cough", US_national_yearly!$D:$AM, 10, FALSE), 1)</f>
        <v>1.1110639361511665E-4</v>
      </c>
      <c r="I6" s="7">
        <f>$B6 * IFERROR(VLOOKUP("LULUCF|NOx|Asthma symptoms cough", US_national_yearly!$D:$AM, 17, FALSE) / VLOOKUP("LULUCF|NOx|Asthma symptoms cough", US_national_yearly!$D:$AM, 10, FALSE), 1)</f>
        <v>1.1149412470404262E-4</v>
      </c>
      <c r="J6" s="7">
        <f>$B6 * IFERROR(VLOOKUP("LULUCF|NOx|Asthma symptoms cough", US_national_yearly!$D:$AM, 18, FALSE) / VLOOKUP("LULUCF|NOx|Asthma symptoms cough", US_national_yearly!$D:$AM, 10, FALSE), 1)</f>
        <v>1.1188185579296862E-4</v>
      </c>
      <c r="K6" s="7">
        <f>$B6 * IFERROR(VLOOKUP("LULUCF|NOx|Asthma symptoms cough", US_national_yearly!$D:$AM, 19, FALSE) / VLOOKUP("LULUCF|NOx|Asthma symptoms cough", US_national_yearly!$D:$AM, 10, FALSE), 1)</f>
        <v>1.122695868818946E-4</v>
      </c>
      <c r="L6" s="7">
        <f>$B6 * IFERROR(VLOOKUP("LULUCF|NOx|Asthma symptoms cough", US_national_yearly!$D:$AM, 20, FALSE) / VLOOKUP("LULUCF|NOx|Asthma symptoms cough", US_national_yearly!$D:$AM, 10, FALSE), 1)</f>
        <v>1.1265731797082057E-4</v>
      </c>
      <c r="M6" s="7">
        <f>$B6 * IFERROR(VLOOKUP("LULUCF|NOx|Asthma symptoms cough", US_national_yearly!$D:$AM, 21, FALSE) / VLOOKUP("LULUCF|NOx|Asthma symptoms cough", US_national_yearly!$D:$AM, 10, FALSE), 1)</f>
        <v>1.1304504905974657E-4</v>
      </c>
      <c r="N6" s="7">
        <f>$B6 * IFERROR(VLOOKUP("LULUCF|NOx|Asthma symptoms cough", US_national_yearly!$D:$AM, 22, FALSE) / VLOOKUP("LULUCF|NOx|Asthma symptoms cough", US_national_yearly!$D:$AM, 10, FALSE), 1)</f>
        <v>1.1349465213063178E-4</v>
      </c>
      <c r="O6" s="7">
        <f>$B6 * IFERROR(VLOOKUP("LULUCF|NOx|Asthma symptoms cough", US_national_yearly!$D:$AM, 23, FALSE) / VLOOKUP("LULUCF|NOx|Asthma symptoms cough", US_national_yearly!$D:$AM, 10, FALSE), 1)</f>
        <v>1.13944255201517E-4</v>
      </c>
      <c r="P6" s="7">
        <f>$B6 * IFERROR(VLOOKUP("LULUCF|NOx|Asthma symptoms cough", US_national_yearly!$D:$AM, 24, FALSE) / VLOOKUP("LULUCF|NOx|Asthma symptoms cough", US_national_yearly!$D:$AM, 10, FALSE), 1)</f>
        <v>1.1439385827240221E-4</v>
      </c>
      <c r="Q6" s="7">
        <f>$B6 * IFERROR(VLOOKUP("LULUCF|NOx|Asthma symptoms cough", US_national_yearly!$D:$AM, 25, FALSE) / VLOOKUP("LULUCF|NOx|Asthma symptoms cough", US_national_yearly!$D:$AM, 10, FALSE), 1)</f>
        <v>1.1484346134328745E-4</v>
      </c>
      <c r="R6" s="7">
        <f>$B6 * IFERROR(VLOOKUP("LULUCF|NOx|Asthma symptoms cough", US_national_yearly!$D:$AM, 26, FALSE) / VLOOKUP("LULUCF|NOx|Asthma symptoms cough", US_national_yearly!$D:$AM, 10, FALSE), 1)</f>
        <v>1.1529306441417265E-4</v>
      </c>
      <c r="S6" s="7">
        <f>$B6 * IFERROR(VLOOKUP("LULUCF|NOx|Asthma symptoms cough", US_national_yearly!$D:$AM, 27, FALSE) / VLOOKUP("LULUCF|NOx|Asthma symptoms cough", US_national_yearly!$D:$AM, 10, FALSE), 1)</f>
        <v>1.1588038922226574E-4</v>
      </c>
      <c r="T6" s="7">
        <f>$B6 * IFERROR(VLOOKUP("LULUCF|NOx|Asthma symptoms cough", US_national_yearly!$D:$AM, 28, FALSE) / VLOOKUP("LULUCF|NOx|Asthma symptoms cough", US_national_yearly!$D:$AM, 10, FALSE), 1)</f>
        <v>1.164677140303588E-4</v>
      </c>
      <c r="U6" s="7">
        <f>$B6 * IFERROR(VLOOKUP("LULUCF|NOx|Asthma symptoms cough", US_national_yearly!$D:$AM, 29, FALSE) / VLOOKUP("LULUCF|NOx|Asthma symptoms cough", US_national_yearly!$D:$AM, 10, FALSE), 1)</f>
        <v>1.1705503883845185E-4</v>
      </c>
      <c r="V6" s="7">
        <f>$B6 * IFERROR(VLOOKUP("LULUCF|NOx|Asthma symptoms cough", US_national_yearly!$D:$AM, 30, FALSE) / VLOOKUP("LULUCF|NOx|Asthma symptoms cough", US_national_yearly!$D:$AM, 10, FALSE), 1)</f>
        <v>1.1764236364654493E-4</v>
      </c>
      <c r="W6" s="7">
        <f>$B6 * IFERROR(VLOOKUP("LULUCF|NOx|Asthma symptoms cough", US_national_yearly!$D:$AM, 31, FALSE) / VLOOKUP("LULUCF|NOx|Asthma symptoms cough", US_national_yearly!$D:$AM, 10, FALSE), 1)</f>
        <v>1.1822968845463799E-4</v>
      </c>
      <c r="X6" s="7">
        <f>$B6 * IFERROR(VLOOKUP("LULUCF|NOx|Asthma symptoms cough", US_national_yearly!$D:$AM, 32, FALSE) / VLOOKUP("LULUCF|NOx|Asthma symptoms cough", US_national_yearly!$D:$AM, 10, FALSE), 1)</f>
        <v>1.1877539759144318E-4</v>
      </c>
      <c r="Y6" s="7">
        <f>$B6 * IFERROR(VLOOKUP("LULUCF|NOx|Asthma symptoms cough", US_national_yearly!$D:$AM, 33, FALSE) / VLOOKUP("LULUCF|NOx|Asthma symptoms cough", US_national_yearly!$D:$AM, 10, FALSE), 1)</f>
        <v>1.1932110672824836E-4</v>
      </c>
      <c r="Z6" s="7">
        <f>$B6 * IFERROR(VLOOKUP("LULUCF|NOx|Asthma symptoms cough", US_national_yearly!$D:$AM, 34, FALSE) / VLOOKUP("LULUCF|NOx|Asthma symptoms cough", US_national_yearly!$D:$AM, 10, FALSE), 1)</f>
        <v>1.1986681586505354E-4</v>
      </c>
      <c r="AA6" s="7">
        <f>$B6 * IFERROR(VLOOKUP("LULUCF|NOx|Asthma symptoms cough", US_national_yearly!$D:$AM, 35, FALSE) / VLOOKUP("LULUCF|NOx|Asthma symptoms cough", US_national_yearly!$D:$AM, 10, FALSE), 1)</f>
        <v>1.2041252500185872E-4</v>
      </c>
      <c r="AB6" s="7">
        <f>$B6 * IFERROR(VLOOKUP("LULUCF|NOx|Asthma symptoms cough", US_national_yearly!$D:$AM, 36, FALSE) / VLOOKUP("LULUCF|NOx|Asthma symptoms cough", US_national_yearly!$D:$AM, 10, FALSE), 1)</f>
        <v>1.2095823413866393E-4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1.3898625229312911E-4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1.4088642159401722E-4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1.4278659089490527E-4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1.4468676019579338E-4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1.4658692949668146E-4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1.4810394915140202E-4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1.4962096880612256E-4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1.5014310528174203E-4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1.5066524175736147E-4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1.5118737823298093E-4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1.517095147086004E-4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1.5223165118421984E-4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1.5283710731182787E-4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1.5344256343943587E-4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1.5404801956704387E-4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1.5465347569465187E-4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1.5525893182225989E-4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1.5604985036348016E-4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1.5684076890470043E-4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1.576316874459207E-4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1.5842260598714094E-4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1.5921352452836118E-4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1.5994840149623438E-4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1.6068327846410755E-4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1.6141815543198074E-4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1.6215303239985394E-4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1.628879093677271E-4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2.1234714196541571E-4</v>
      </c>
      <c r="C8" s="7">
        <f>$B8 * IFERROR(VLOOKUP("LULUCF|NOx|Asthma symptoms wheeze", US_national_yearly!$D:$AM, 11, FALSE) / VLOOKUP("LULUCF|NOx|Asthma symptoms wheeze", US_national_yearly!$D:$AM, 10, FALSE), 1)</f>
        <v>2.1525027457392057E-4</v>
      </c>
      <c r="D8" s="7">
        <f>$B8 * IFERROR(VLOOKUP("LULUCF|NOx|Asthma symptoms wheeze", US_national_yearly!$D:$AM, 12, FALSE) / VLOOKUP("LULUCF|NOx|Asthma symptoms wheeze", US_national_yearly!$D:$AM, 10, FALSE), 1)</f>
        <v>2.1815340718242554E-4</v>
      </c>
      <c r="E8" s="7">
        <f>$B8 * IFERROR(VLOOKUP("LULUCF|NOx|Asthma symptoms wheeze", US_national_yearly!$D:$AM, 13, FALSE) / VLOOKUP("LULUCF|NOx|Asthma symptoms wheeze", US_national_yearly!$D:$AM, 10, FALSE), 1)</f>
        <v>2.210565397909304E-4</v>
      </c>
      <c r="F8" s="7">
        <f>$B8 * IFERROR(VLOOKUP("LULUCF|NOx|Asthma symptoms wheeze", US_national_yearly!$D:$AM, 14, FALSE) / VLOOKUP("LULUCF|NOx|Asthma symptoms wheeze", US_national_yearly!$D:$AM, 10, FALSE), 1)</f>
        <v>2.2395967239943526E-4</v>
      </c>
      <c r="G8" s="7">
        <f>$B8 * IFERROR(VLOOKUP("LULUCF|NOx|Asthma symptoms wheeze", US_national_yearly!$D:$AM, 15, FALSE) / VLOOKUP("LULUCF|NOx|Asthma symptoms wheeze", US_national_yearly!$D:$AM, 10, FALSE), 1)</f>
        <v>2.2627741810367897E-4</v>
      </c>
      <c r="H8" s="7">
        <f>$B8 * IFERROR(VLOOKUP("LULUCF|NOx|Asthma symptoms wheeze", US_national_yearly!$D:$AM, 16, FALSE) / VLOOKUP("LULUCF|NOx|Asthma symptoms wheeze", US_national_yearly!$D:$AM, 10, FALSE), 1)</f>
        <v>2.2859516380792271E-4</v>
      </c>
      <c r="I8" s="7">
        <f>$B8 * IFERROR(VLOOKUP("LULUCF|NOx|Asthma symptoms wheeze", US_national_yearly!$D:$AM, 17, FALSE) / VLOOKUP("LULUCF|NOx|Asthma symptoms wheeze", US_national_yearly!$D:$AM, 10, FALSE), 1)</f>
        <v>2.2939289874835346E-4</v>
      </c>
      <c r="J8" s="7">
        <f>$B8 * IFERROR(VLOOKUP("LULUCF|NOx|Asthma symptoms wheeze", US_national_yearly!$D:$AM, 18, FALSE) / VLOOKUP("LULUCF|NOx|Asthma symptoms wheeze", US_national_yearly!$D:$AM, 10, FALSE), 1)</f>
        <v>2.3019063368878427E-4</v>
      </c>
      <c r="K8" s="7">
        <f>$B8 * IFERROR(VLOOKUP("LULUCF|NOx|Asthma symptoms wheeze", US_national_yearly!$D:$AM, 19, FALSE) / VLOOKUP("LULUCF|NOx|Asthma symptoms wheeze", US_national_yearly!$D:$AM, 10, FALSE), 1)</f>
        <v>2.3098836862921499E-4</v>
      </c>
      <c r="L8" s="7">
        <f>$B8 * IFERROR(VLOOKUP("LULUCF|NOx|Asthma symptoms wheeze", US_national_yearly!$D:$AM, 20, FALSE) / VLOOKUP("LULUCF|NOx|Asthma symptoms wheeze", US_national_yearly!$D:$AM, 10, FALSE), 1)</f>
        <v>2.317861035696458E-4</v>
      </c>
      <c r="M8" s="7">
        <f>$B8 * IFERROR(VLOOKUP("LULUCF|NOx|Asthma symptoms wheeze", US_national_yearly!$D:$AM, 21, FALSE) / VLOOKUP("LULUCF|NOx|Asthma symptoms wheeze", US_national_yearly!$D:$AM, 10, FALSE), 1)</f>
        <v>2.3258383851007658E-4</v>
      </c>
      <c r="N8" s="7">
        <f>$B8 * IFERROR(VLOOKUP("LULUCF|NOx|Asthma symptoms wheeze", US_national_yearly!$D:$AM, 22, FALSE) / VLOOKUP("LULUCF|NOx|Asthma symptoms wheeze", US_national_yearly!$D:$AM, 10, FALSE), 1)</f>
        <v>2.3350887157901802E-4</v>
      </c>
      <c r="O8" s="7">
        <f>$B8 * IFERROR(VLOOKUP("LULUCF|NOx|Asthma symptoms wheeze", US_national_yearly!$D:$AM, 23, FALSE) / VLOOKUP("LULUCF|NOx|Asthma symptoms wheeze", US_national_yearly!$D:$AM, 10, FALSE), 1)</f>
        <v>2.3443390464795953E-4</v>
      </c>
      <c r="P8" s="7">
        <f>$B8 * IFERROR(VLOOKUP("LULUCF|NOx|Asthma symptoms wheeze", US_national_yearly!$D:$AM, 24, FALSE) / VLOOKUP("LULUCF|NOx|Asthma symptoms wheeze", US_national_yearly!$D:$AM, 10, FALSE), 1)</f>
        <v>2.3535893771690097E-4</v>
      </c>
      <c r="Q8" s="7">
        <f>$B8 * IFERROR(VLOOKUP("LULUCF|NOx|Asthma symptoms wheeze", US_national_yearly!$D:$AM, 25, FALSE) / VLOOKUP("LULUCF|NOx|Asthma symptoms wheeze", US_national_yearly!$D:$AM, 10, FALSE), 1)</f>
        <v>2.3628397078584245E-4</v>
      </c>
      <c r="R8" s="7">
        <f>$B8 * IFERROR(VLOOKUP("LULUCF|NOx|Asthma symptoms wheeze", US_national_yearly!$D:$AM, 26, FALSE) / VLOOKUP("LULUCF|NOx|Asthma symptoms wheeze", US_national_yearly!$D:$AM, 10, FALSE), 1)</f>
        <v>2.372090038547839E-4</v>
      </c>
      <c r="S8" s="7">
        <f>$B8 * IFERROR(VLOOKUP("LULUCF|NOx|Asthma symptoms wheeze", US_national_yearly!$D:$AM, 27, FALSE) / VLOOKUP("LULUCF|NOx|Asthma symptoms wheeze", US_national_yearly!$D:$AM, 10, FALSE), 1)</f>
        <v>2.3841739166295496E-4</v>
      </c>
      <c r="T8" s="7">
        <f>$B8 * IFERROR(VLOOKUP("LULUCF|NOx|Asthma symptoms wheeze", US_national_yearly!$D:$AM, 28, FALSE) / VLOOKUP("LULUCF|NOx|Asthma symptoms wheeze", US_national_yearly!$D:$AM, 10, FALSE), 1)</f>
        <v>2.39625779471126E-4</v>
      </c>
      <c r="U8" s="7">
        <f>$B8 * IFERROR(VLOOKUP("LULUCF|NOx|Asthma symptoms wheeze", US_national_yearly!$D:$AM, 29, FALSE) / VLOOKUP("LULUCF|NOx|Asthma symptoms wheeze", US_national_yearly!$D:$AM, 10, FALSE), 1)</f>
        <v>2.4083416727929704E-4</v>
      </c>
      <c r="V8" s="7">
        <f>$B8 * IFERROR(VLOOKUP("LULUCF|NOx|Asthma symptoms wheeze", US_national_yearly!$D:$AM, 30, FALSE) / VLOOKUP("LULUCF|NOx|Asthma symptoms wheeze", US_national_yearly!$D:$AM, 10, FALSE), 1)</f>
        <v>2.4204255508746813E-4</v>
      </c>
      <c r="W8" s="7">
        <f>$B8 * IFERROR(VLOOKUP("LULUCF|NOx|Asthma symptoms wheeze", US_national_yearly!$D:$AM, 31, FALSE) / VLOOKUP("LULUCF|NOx|Asthma symptoms wheeze", US_national_yearly!$D:$AM, 10, FALSE), 1)</f>
        <v>2.4325094289563915E-4</v>
      </c>
      <c r="X8" s="7">
        <f>$B8 * IFERROR(VLOOKUP("LULUCF|NOx|Asthma symptoms wheeze", US_national_yearly!$D:$AM, 32, FALSE) / VLOOKUP("LULUCF|NOx|Asthma symptoms wheeze", US_national_yearly!$D:$AM, 10, FALSE), 1)</f>
        <v>2.4437370879691264E-4</v>
      </c>
      <c r="Y8" s="7">
        <f>$B8 * IFERROR(VLOOKUP("LULUCF|NOx|Asthma symptoms wheeze", US_national_yearly!$D:$AM, 33, FALSE) / VLOOKUP("LULUCF|NOx|Asthma symptoms wheeze", US_national_yearly!$D:$AM, 10, FALSE), 1)</f>
        <v>2.4549647469818608E-4</v>
      </c>
      <c r="Z8" s="7">
        <f>$B8 * IFERROR(VLOOKUP("LULUCF|NOx|Asthma symptoms wheeze", US_national_yearly!$D:$AM, 34, FALSE) / VLOOKUP("LULUCF|NOx|Asthma symptoms wheeze", US_national_yearly!$D:$AM, 10, FALSE), 1)</f>
        <v>2.4661924059945952E-4</v>
      </c>
      <c r="AA8" s="7">
        <f>$B8 * IFERROR(VLOOKUP("LULUCF|NOx|Asthma symptoms wheeze", US_national_yearly!$D:$AM, 35, FALSE) / VLOOKUP("LULUCF|NOx|Asthma symptoms wheeze", US_national_yearly!$D:$AM, 10, FALSE), 1)</f>
        <v>2.4774200650073296E-4</v>
      </c>
      <c r="AB8" s="7">
        <f>$B8 * IFERROR(VLOOKUP("LULUCF|NOx|Asthma symptoms wheeze", US_national_yearly!$D:$AM, 36, FALSE) / VLOOKUP("LULUCF|NOx|Asthma symptoms wheeze", US_national_yearly!$D:$AM, 10, FALSE), 1)</f>
        <v>2.4886477240200646E-4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3.6242008236687601E-6</v>
      </c>
      <c r="C12" s="7">
        <f>$B12 * IFERROR(VLOOKUP("LULUCF|NOx|Respiratory hospital admissions", US_national_yearly!$D:$AM, 11, FALSE) / VLOOKUP("LULUCF|NOx|Respiratory hospital admissions", US_national_yearly!$D:$AM, 10, FALSE), 1)</f>
        <v>3.7146052980300366E-6</v>
      </c>
      <c r="D12" s="7">
        <f>$B12 * IFERROR(VLOOKUP("LULUCF|NOx|Respiratory hospital admissions", US_national_yearly!$D:$AM, 12, FALSE) / VLOOKUP("LULUCF|NOx|Respiratory hospital admissions", US_national_yearly!$D:$AM, 10, FALSE), 1)</f>
        <v>3.8050097723913134E-6</v>
      </c>
      <c r="E12" s="7">
        <f>$B12 * IFERROR(VLOOKUP("LULUCF|NOx|Respiratory hospital admissions", US_national_yearly!$D:$AM, 13, FALSE) / VLOOKUP("LULUCF|NOx|Respiratory hospital admissions", US_national_yearly!$D:$AM, 10, FALSE), 1)</f>
        <v>3.8954142467525907E-6</v>
      </c>
      <c r="F12" s="7">
        <f>$B12 * IFERROR(VLOOKUP("LULUCF|NOx|Respiratory hospital admissions", US_national_yearly!$D:$AM, 14, FALSE) / VLOOKUP("LULUCF|NOx|Respiratory hospital admissions", US_national_yearly!$D:$AM, 10, FALSE), 1)</f>
        <v>3.985818721113868E-6</v>
      </c>
      <c r="G12" s="7">
        <f>$B12 * IFERROR(VLOOKUP("LULUCF|NOx|Respiratory hospital admissions", US_national_yearly!$D:$AM, 15, FALSE) / VLOOKUP("LULUCF|NOx|Respiratory hospital admissions", US_national_yearly!$D:$AM, 10, FALSE), 1)</f>
        <v>4.0722484756052842E-6</v>
      </c>
      <c r="H12" s="7">
        <f>$B12 * IFERROR(VLOOKUP("LULUCF|NOx|Respiratory hospital admissions", US_national_yearly!$D:$AM, 16, FALSE) / VLOOKUP("LULUCF|NOx|Respiratory hospital admissions", US_national_yearly!$D:$AM, 10, FALSE), 1)</f>
        <v>4.1586782300967004E-6</v>
      </c>
      <c r="I12" s="7">
        <f>$B12 * IFERROR(VLOOKUP("LULUCF|NOx|Respiratory hospital admissions", US_national_yearly!$D:$AM, 17, FALSE) / VLOOKUP("LULUCF|NOx|Respiratory hospital admissions", US_national_yearly!$D:$AM, 10, FALSE), 1)</f>
        <v>4.2320588684758495E-6</v>
      </c>
      <c r="J12" s="7">
        <f>$B12 * IFERROR(VLOOKUP("LULUCF|NOx|Respiratory hospital admissions", US_national_yearly!$D:$AM, 18, FALSE) / VLOOKUP("LULUCF|NOx|Respiratory hospital admissions", US_national_yearly!$D:$AM, 10, FALSE), 1)</f>
        <v>4.3054395068549979E-6</v>
      </c>
      <c r="K12" s="7">
        <f>$B12 * IFERROR(VLOOKUP("LULUCF|NOx|Respiratory hospital admissions", US_national_yearly!$D:$AM, 19, FALSE) / VLOOKUP("LULUCF|NOx|Respiratory hospital admissions", US_national_yearly!$D:$AM, 10, FALSE), 1)</f>
        <v>4.3788201452341479E-6</v>
      </c>
      <c r="L12" s="7">
        <f>$B12 * IFERROR(VLOOKUP("LULUCF|NOx|Respiratory hospital admissions", US_national_yearly!$D:$AM, 20, FALSE) / VLOOKUP("LULUCF|NOx|Respiratory hospital admissions", US_national_yearly!$D:$AM, 10, FALSE), 1)</f>
        <v>4.4522007836132971E-6</v>
      </c>
      <c r="M12" s="7">
        <f>$B12 * IFERROR(VLOOKUP("LULUCF|NOx|Respiratory hospital admissions", US_national_yearly!$D:$AM, 21, FALSE) / VLOOKUP("LULUCF|NOx|Respiratory hospital admissions", US_national_yearly!$D:$AM, 10, FALSE), 1)</f>
        <v>4.5255814219924462E-6</v>
      </c>
      <c r="N12" s="7">
        <f>$B12 * IFERROR(VLOOKUP("LULUCF|NOx|Respiratory hospital admissions", US_national_yearly!$D:$AM, 22, FALSE) / VLOOKUP("LULUCF|NOx|Respiratory hospital admissions", US_national_yearly!$D:$AM, 10, FALSE), 1)</f>
        <v>4.5746376999349667E-6</v>
      </c>
      <c r="O12" s="7">
        <f>$B12 * IFERROR(VLOOKUP("LULUCF|NOx|Respiratory hospital admissions", US_national_yearly!$D:$AM, 23, FALSE) / VLOOKUP("LULUCF|NOx|Respiratory hospital admissions", US_national_yearly!$D:$AM, 10, FALSE), 1)</f>
        <v>4.623693977877488E-6</v>
      </c>
      <c r="P12" s="7">
        <f>$B12 * IFERROR(VLOOKUP("LULUCF|NOx|Respiratory hospital admissions", US_national_yearly!$D:$AM, 24, FALSE) / VLOOKUP("LULUCF|NOx|Respiratory hospital admissions", US_national_yearly!$D:$AM, 10, FALSE), 1)</f>
        <v>4.6727502558200092E-6</v>
      </c>
      <c r="Q12" s="7">
        <f>$B12 * IFERROR(VLOOKUP("LULUCF|NOx|Respiratory hospital admissions", US_national_yearly!$D:$AM, 25, FALSE) / VLOOKUP("LULUCF|NOx|Respiratory hospital admissions", US_national_yearly!$D:$AM, 10, FALSE), 1)</f>
        <v>4.7218065337625305E-6</v>
      </c>
      <c r="R12" s="7">
        <f>$B12 * IFERROR(VLOOKUP("LULUCF|NOx|Respiratory hospital admissions", US_national_yearly!$D:$AM, 26, FALSE) / VLOOKUP("LULUCF|NOx|Respiratory hospital admissions", US_national_yearly!$D:$AM, 10, FALSE), 1)</f>
        <v>4.7708628117050518E-6</v>
      </c>
      <c r="S12" s="7">
        <f>$B12 * IFERROR(VLOOKUP("LULUCF|NOx|Respiratory hospital admissions", US_national_yearly!$D:$AM, 27, FALSE) / VLOOKUP("LULUCF|NOx|Respiratory hospital admissions", US_national_yearly!$D:$AM, 10, FALSE), 1)</f>
        <v>4.7971458361554958E-6</v>
      </c>
      <c r="T12" s="7">
        <f>$B12 * IFERROR(VLOOKUP("LULUCF|NOx|Respiratory hospital admissions", US_national_yearly!$D:$AM, 28, FALSE) / VLOOKUP("LULUCF|NOx|Respiratory hospital admissions", US_national_yearly!$D:$AM, 10, FALSE), 1)</f>
        <v>4.8234288606059398E-6</v>
      </c>
      <c r="U12" s="7">
        <f>$B12 * IFERROR(VLOOKUP("LULUCF|NOx|Respiratory hospital admissions", US_national_yearly!$D:$AM, 29, FALSE) / VLOOKUP("LULUCF|NOx|Respiratory hospital admissions", US_national_yearly!$D:$AM, 10, FALSE), 1)</f>
        <v>4.8497118850563846E-6</v>
      </c>
      <c r="V12" s="7">
        <f>$B12 * IFERROR(VLOOKUP("LULUCF|NOx|Respiratory hospital admissions", US_national_yearly!$D:$AM, 30, FALSE) / VLOOKUP("LULUCF|NOx|Respiratory hospital admissions", US_national_yearly!$D:$AM, 10, FALSE), 1)</f>
        <v>4.8759949095068277E-6</v>
      </c>
      <c r="W12" s="7">
        <f>$B12 * IFERROR(VLOOKUP("LULUCF|NOx|Respiratory hospital admissions", US_national_yearly!$D:$AM, 31, FALSE) / VLOOKUP("LULUCF|NOx|Respiratory hospital admissions", US_national_yearly!$D:$AM, 10, FALSE), 1)</f>
        <v>4.9022779339572734E-6</v>
      </c>
      <c r="X12" s="7">
        <f>$B12 * IFERROR(VLOOKUP("LULUCF|NOx|Respiratory hospital admissions", US_national_yearly!$D:$AM, 32, FALSE) / VLOOKUP("LULUCF|NOx|Respiratory hospital admissions", US_national_yearly!$D:$AM, 10, FALSE), 1)</f>
        <v>4.920238966571001E-6</v>
      </c>
      <c r="Y12" s="7">
        <f>$B12 * IFERROR(VLOOKUP("LULUCF|NOx|Respiratory hospital admissions", US_national_yearly!$D:$AM, 33, FALSE) / VLOOKUP("LULUCF|NOx|Respiratory hospital admissions", US_national_yearly!$D:$AM, 10, FALSE), 1)</f>
        <v>4.9381999991847287E-6</v>
      </c>
      <c r="Z12" s="7">
        <f>$B12 * IFERROR(VLOOKUP("LULUCF|NOx|Respiratory hospital admissions", US_national_yearly!$D:$AM, 34, FALSE) / VLOOKUP("LULUCF|NOx|Respiratory hospital admissions", US_national_yearly!$D:$AM, 10, FALSE), 1)</f>
        <v>4.9561610317984572E-6</v>
      </c>
      <c r="AA12" s="7">
        <f>$B12 * IFERROR(VLOOKUP("LULUCF|NOx|Respiratory hospital admissions", US_national_yearly!$D:$AM, 35, FALSE) / VLOOKUP("LULUCF|NOx|Respiratory hospital admissions", US_national_yearly!$D:$AM, 10, FALSE), 1)</f>
        <v>4.9741220644121857E-6</v>
      </c>
      <c r="AB12" s="7">
        <f>$B12 * IFERROR(VLOOKUP("LULUCF|NOx|Respiratory hospital admissions", US_national_yearly!$D:$AM, 36, FALSE) / VLOOKUP("LULUCF|NOx|Respiratory hospital admissions", US_national_yearly!$D:$AM, 10, FALSE), 1)</f>
        <v>4.9920830970259124E-6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1.6789772139651647E-5</v>
      </c>
      <c r="C13" s="7">
        <f>$B13 * IFERROR(VLOOKUP("LULUCF|NOx|Non-fatal heart attacks", US_national_yearly!$D:$AM, 11, FALSE) / VLOOKUP("LULUCF|NOx|Non-fatal heart attacks", US_national_yearly!$D:$AM, 10, FALSE), 1)</f>
        <v>1.7269776932391222E-5</v>
      </c>
      <c r="D13" s="7">
        <f>$B13 * IFERROR(VLOOKUP("LULUCF|NOx|Non-fatal heart attacks", US_national_yearly!$D:$AM, 12, FALSE) / VLOOKUP("LULUCF|NOx|Non-fatal heart attacks", US_national_yearly!$D:$AM, 10, FALSE), 1)</f>
        <v>1.7749781725130797E-5</v>
      </c>
      <c r="E13" s="7">
        <f>$B13 * IFERROR(VLOOKUP("LULUCF|NOx|Non-fatal heart attacks", US_national_yearly!$D:$AM, 13, FALSE) / VLOOKUP("LULUCF|NOx|Non-fatal heart attacks", US_national_yearly!$D:$AM, 10, FALSE), 1)</f>
        <v>1.8229786517870368E-5</v>
      </c>
      <c r="F13" s="7">
        <f>$B13 * IFERROR(VLOOKUP("LULUCF|NOx|Non-fatal heart attacks", US_national_yearly!$D:$AM, 14, FALSE) / VLOOKUP("LULUCF|NOx|Non-fatal heart attacks", US_national_yearly!$D:$AM, 10, FALSE), 1)</f>
        <v>1.8709791310609943E-5</v>
      </c>
      <c r="G13" s="7">
        <f>$B13 * IFERROR(VLOOKUP("LULUCF|NOx|Non-fatal heart attacks", US_national_yearly!$D:$AM, 15, FALSE) / VLOOKUP("LULUCF|NOx|Non-fatal heart attacks", US_national_yearly!$D:$AM, 10, FALSE), 1)</f>
        <v>1.91583547918085E-5</v>
      </c>
      <c r="H13" s="7">
        <f>$B13 * IFERROR(VLOOKUP("LULUCF|NOx|Non-fatal heart attacks", US_national_yearly!$D:$AM, 16, FALSE) / VLOOKUP("LULUCF|NOx|Non-fatal heart attacks", US_national_yearly!$D:$AM, 10, FALSE), 1)</f>
        <v>1.9606918273007053E-5</v>
      </c>
      <c r="I13" s="7">
        <f>$B13 * IFERROR(VLOOKUP("LULUCF|NOx|Non-fatal heart attacks", US_national_yearly!$D:$AM, 17, FALSE) / VLOOKUP("LULUCF|NOx|Non-fatal heart attacks", US_national_yearly!$D:$AM, 10, FALSE), 1)</f>
        <v>1.9960559302230342E-5</v>
      </c>
      <c r="J13" s="7">
        <f>$B13 * IFERROR(VLOOKUP("LULUCF|NOx|Non-fatal heart attacks", US_national_yearly!$D:$AM, 18, FALSE) / VLOOKUP("LULUCF|NOx|Non-fatal heart attacks", US_national_yearly!$D:$AM, 10, FALSE), 1)</f>
        <v>2.0314200331453631E-5</v>
      </c>
      <c r="K13" s="7">
        <f>$B13 * IFERROR(VLOOKUP("LULUCF|NOx|Non-fatal heart attacks", US_national_yearly!$D:$AM, 19, FALSE) / VLOOKUP("LULUCF|NOx|Non-fatal heart attacks", US_national_yearly!$D:$AM, 10, FALSE), 1)</f>
        <v>2.066784136067691E-5</v>
      </c>
      <c r="L13" s="7">
        <f>$B13 * IFERROR(VLOOKUP("LULUCF|NOx|Non-fatal heart attacks", US_national_yearly!$D:$AM, 20, FALSE) / VLOOKUP("LULUCF|NOx|Non-fatal heart attacks", US_national_yearly!$D:$AM, 10, FALSE), 1)</f>
        <v>2.1021482389900209E-5</v>
      </c>
      <c r="M13" s="7">
        <f>$B13 * IFERROR(VLOOKUP("LULUCF|NOx|Non-fatal heart attacks", US_national_yearly!$D:$AM, 21, FALSE) / VLOOKUP("LULUCF|NOx|Non-fatal heart attacks", US_national_yearly!$D:$AM, 10, FALSE), 1)</f>
        <v>2.1375123419123494E-5</v>
      </c>
      <c r="N13" s="7">
        <f>$B13 * IFERROR(VLOOKUP("LULUCF|NOx|Non-fatal heart attacks", US_national_yearly!$D:$AM, 22, FALSE) / VLOOKUP("LULUCF|NOx|Non-fatal heart attacks", US_national_yearly!$D:$AM, 10, FALSE), 1)</f>
        <v>2.1587884587026389E-5</v>
      </c>
      <c r="O13" s="7">
        <f>$B13 * IFERROR(VLOOKUP("LULUCF|NOx|Non-fatal heart attacks", US_national_yearly!$D:$AM, 23, FALSE) / VLOOKUP("LULUCF|NOx|Non-fatal heart attacks", US_national_yearly!$D:$AM, 10, FALSE), 1)</f>
        <v>2.1800645754929281E-5</v>
      </c>
      <c r="P13" s="7">
        <f>$B13 * IFERROR(VLOOKUP("LULUCF|NOx|Non-fatal heart attacks", US_national_yearly!$D:$AM, 24, FALSE) / VLOOKUP("LULUCF|NOx|Non-fatal heart attacks", US_national_yearly!$D:$AM, 10, FALSE), 1)</f>
        <v>2.2013406922832172E-5</v>
      </c>
      <c r="Q13" s="7">
        <f>$B13 * IFERROR(VLOOKUP("LULUCF|NOx|Non-fatal heart attacks", US_national_yearly!$D:$AM, 25, FALSE) / VLOOKUP("LULUCF|NOx|Non-fatal heart attacks", US_national_yearly!$D:$AM, 10, FALSE), 1)</f>
        <v>2.222616809073507E-5</v>
      </c>
      <c r="R13" s="7">
        <f>$B13 * IFERROR(VLOOKUP("LULUCF|NOx|Non-fatal heart attacks", US_national_yearly!$D:$AM, 26, FALSE) / VLOOKUP("LULUCF|NOx|Non-fatal heart attacks", US_national_yearly!$D:$AM, 10, FALSE), 1)</f>
        <v>2.2438929258637965E-5</v>
      </c>
      <c r="S13" s="7">
        <f>$B13 * IFERROR(VLOOKUP("LULUCF|NOx|Non-fatal heart attacks", US_national_yearly!$D:$AM, 27, FALSE) / VLOOKUP("LULUCF|NOx|Non-fatal heart attacks", US_national_yearly!$D:$AM, 10, FALSE), 1)</f>
        <v>2.2535439195934104E-5</v>
      </c>
      <c r="T13" s="7">
        <f>$B13 * IFERROR(VLOOKUP("LULUCF|NOx|Non-fatal heart attacks", US_national_yearly!$D:$AM, 28, FALSE) / VLOOKUP("LULUCF|NOx|Non-fatal heart attacks", US_national_yearly!$D:$AM, 10, FALSE), 1)</f>
        <v>2.2631949133230243E-5</v>
      </c>
      <c r="U13" s="7">
        <f>$B13 * IFERROR(VLOOKUP("LULUCF|NOx|Non-fatal heart attacks", US_national_yearly!$D:$AM, 29, FALSE) / VLOOKUP("LULUCF|NOx|Non-fatal heart attacks", US_national_yearly!$D:$AM, 10, FALSE), 1)</f>
        <v>2.2728459070526381E-5</v>
      </c>
      <c r="V13" s="7">
        <f>$B13 * IFERROR(VLOOKUP("LULUCF|NOx|Non-fatal heart attacks", US_national_yearly!$D:$AM, 30, FALSE) / VLOOKUP("LULUCF|NOx|Non-fatal heart attacks", US_national_yearly!$D:$AM, 10, FALSE), 1)</f>
        <v>2.2824969007822523E-5</v>
      </c>
      <c r="W13" s="7">
        <f>$B13 * IFERROR(VLOOKUP("LULUCF|NOx|Non-fatal heart attacks", US_national_yearly!$D:$AM, 31, FALSE) / VLOOKUP("LULUCF|NOx|Non-fatal heart attacks", US_national_yearly!$D:$AM, 10, FALSE), 1)</f>
        <v>2.2921478945118662E-5</v>
      </c>
      <c r="X13" s="7">
        <f>$B13 * IFERROR(VLOOKUP("LULUCF|NOx|Non-fatal heart attacks", US_national_yearly!$D:$AM, 32, FALSE) / VLOOKUP("LULUCF|NOx|Non-fatal heart attacks", US_national_yearly!$D:$AM, 10, FALSE), 1)</f>
        <v>2.298597196340014E-5</v>
      </c>
      <c r="Y13" s="7">
        <f>$B13 * IFERROR(VLOOKUP("LULUCF|NOx|Non-fatal heart attacks", US_national_yearly!$D:$AM, 33, FALSE) / VLOOKUP("LULUCF|NOx|Non-fatal heart attacks", US_national_yearly!$D:$AM, 10, FALSE), 1)</f>
        <v>2.3050464981681618E-5</v>
      </c>
      <c r="Z13" s="7">
        <f>$B13 * IFERROR(VLOOKUP("LULUCF|NOx|Non-fatal heart attacks", US_national_yearly!$D:$AM, 34, FALSE) / VLOOKUP("LULUCF|NOx|Non-fatal heart attacks", US_national_yearly!$D:$AM, 10, FALSE), 1)</f>
        <v>2.3114957999963093E-5</v>
      </c>
      <c r="AA13" s="7">
        <f>$B13 * IFERROR(VLOOKUP("LULUCF|NOx|Non-fatal heart attacks", US_national_yearly!$D:$AM, 35, FALSE) / VLOOKUP("LULUCF|NOx|Non-fatal heart attacks", US_national_yearly!$D:$AM, 10, FALSE), 1)</f>
        <v>2.3179451018244568E-5</v>
      </c>
      <c r="AB13" s="7">
        <f>$B13 * IFERROR(VLOOKUP("LULUCF|NOx|Non-fatal heart attacks", US_national_yearly!$D:$AM, 36, FALSE) / VLOOKUP("LULUCF|NOx|Non-fatal heart attacks", US_national_yearly!$D:$AM, 10, FALSE), 1)</f>
        <v>2.3243944036526049E-5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1.0974397580861555E-2</v>
      </c>
      <c r="C14" s="7">
        <f>$B14 * IFERROR(VLOOKUP("LULUCF|NOx|Minor restricted activity days", US_national_yearly!$D:$AM, 11, FALSE) / VLOOKUP("LULUCF|NOx|Minor restricted activity days", US_national_yearly!$D:$AM, 10, FALSE), 1)</f>
        <v>1.09912231740613E-2</v>
      </c>
      <c r="D14" s="7">
        <f>$B14 * IFERROR(VLOOKUP("LULUCF|NOx|Minor restricted activity days", US_national_yearly!$D:$AM, 12, FALSE) / VLOOKUP("LULUCF|NOx|Minor restricted activity days", US_national_yearly!$D:$AM, 10, FALSE), 1)</f>
        <v>1.1008048767261046E-2</v>
      </c>
      <c r="E14" s="7">
        <f>$B14 * IFERROR(VLOOKUP("LULUCF|NOx|Minor restricted activity days", US_national_yearly!$D:$AM, 13, FALSE) / VLOOKUP("LULUCF|NOx|Minor restricted activity days", US_national_yearly!$D:$AM, 10, FALSE), 1)</f>
        <v>1.1024874360460792E-2</v>
      </c>
      <c r="F14" s="7">
        <f>$B14 * IFERROR(VLOOKUP("LULUCF|NOx|Minor restricted activity days", US_national_yearly!$D:$AM, 14, FALSE) / VLOOKUP("LULUCF|NOx|Minor restricted activity days", US_national_yearly!$D:$AM, 10, FALSE), 1)</f>
        <v>1.1041699953660535E-2</v>
      </c>
      <c r="G14" s="7">
        <f>$B14 * IFERROR(VLOOKUP("LULUCF|NOx|Minor restricted activity days", US_national_yearly!$D:$AM, 15, FALSE) / VLOOKUP("LULUCF|NOx|Minor restricted activity days", US_national_yearly!$D:$AM, 10, FALSE), 1)</f>
        <v>1.1072082970143962E-2</v>
      </c>
      <c r="H14" s="7">
        <f>$B14 * IFERROR(VLOOKUP("LULUCF|NOx|Minor restricted activity days", US_national_yearly!$D:$AM, 16, FALSE) / VLOOKUP("LULUCF|NOx|Minor restricted activity days", US_national_yearly!$D:$AM, 10, FALSE), 1)</f>
        <v>1.1102465986627388E-2</v>
      </c>
      <c r="I14" s="7">
        <f>$B14 * IFERROR(VLOOKUP("LULUCF|NOx|Minor restricted activity days", US_national_yearly!$D:$AM, 17, FALSE) / VLOOKUP("LULUCF|NOx|Minor restricted activity days", US_national_yearly!$D:$AM, 10, FALSE), 1)</f>
        <v>1.1161893965400177E-2</v>
      </c>
      <c r="J14" s="7">
        <f>$B14 * IFERROR(VLOOKUP("LULUCF|NOx|Minor restricted activity days", US_national_yearly!$D:$AM, 18, FALSE) / VLOOKUP("LULUCF|NOx|Minor restricted activity days", US_national_yearly!$D:$AM, 10, FALSE), 1)</f>
        <v>1.1221321944172963E-2</v>
      </c>
      <c r="K14" s="7">
        <f>$B14 * IFERROR(VLOOKUP("LULUCF|NOx|Minor restricted activity days", US_national_yearly!$D:$AM, 19, FALSE) / VLOOKUP("LULUCF|NOx|Minor restricted activity days", US_national_yearly!$D:$AM, 10, FALSE), 1)</f>
        <v>1.1280749922945752E-2</v>
      </c>
      <c r="L14" s="7">
        <f>$B14 * IFERROR(VLOOKUP("LULUCF|NOx|Minor restricted activity days", US_national_yearly!$D:$AM, 20, FALSE) / VLOOKUP("LULUCF|NOx|Minor restricted activity days", US_national_yearly!$D:$AM, 10, FALSE), 1)</f>
        <v>1.134017790171854E-2</v>
      </c>
      <c r="M14" s="7">
        <f>$B14 * IFERROR(VLOOKUP("LULUCF|NOx|Minor restricted activity days", US_national_yearly!$D:$AM, 21, FALSE) / VLOOKUP("LULUCF|NOx|Minor restricted activity days", US_national_yearly!$D:$AM, 10, FALSE), 1)</f>
        <v>1.1399605880491328E-2</v>
      </c>
      <c r="N14" s="7">
        <f>$B14 * IFERROR(VLOOKUP("LULUCF|NOx|Minor restricted activity days", US_national_yearly!$D:$AM, 22, FALSE) / VLOOKUP("LULUCF|NOx|Minor restricted activity days", US_national_yearly!$D:$AM, 10, FALSE), 1)</f>
        <v>1.1484693271091636E-2</v>
      </c>
      <c r="O14" s="7">
        <f>$B14 * IFERROR(VLOOKUP("LULUCF|NOx|Minor restricted activity days", US_national_yearly!$D:$AM, 23, FALSE) / VLOOKUP("LULUCF|NOx|Minor restricted activity days", US_national_yearly!$D:$AM, 10, FALSE), 1)</f>
        <v>1.1569780661691943E-2</v>
      </c>
      <c r="P14" s="7">
        <f>$B14 * IFERROR(VLOOKUP("LULUCF|NOx|Minor restricted activity days", US_national_yearly!$D:$AM, 24, FALSE) / VLOOKUP("LULUCF|NOx|Minor restricted activity days", US_national_yearly!$D:$AM, 10, FALSE), 1)</f>
        <v>1.1654868052292251E-2</v>
      </c>
      <c r="Q14" s="7">
        <f>$B14 * IFERROR(VLOOKUP("LULUCF|NOx|Minor restricted activity days", US_national_yearly!$D:$AM, 25, FALSE) / VLOOKUP("LULUCF|NOx|Minor restricted activity days", US_national_yearly!$D:$AM, 10, FALSE), 1)</f>
        <v>1.1739955442892558E-2</v>
      </c>
      <c r="R14" s="7">
        <f>$B14 * IFERROR(VLOOKUP("LULUCF|NOx|Minor restricted activity days", US_national_yearly!$D:$AM, 26, FALSE) / VLOOKUP("LULUCF|NOx|Minor restricted activity days", US_national_yearly!$D:$AM, 10, FALSE), 1)</f>
        <v>1.1825042833492866E-2</v>
      </c>
      <c r="S14" s="7">
        <f>$B14 * IFERROR(VLOOKUP("LULUCF|NOx|Minor restricted activity days", US_national_yearly!$D:$AM, 27, FALSE) / VLOOKUP("LULUCF|NOx|Minor restricted activity days", US_national_yearly!$D:$AM, 10, FALSE), 1)</f>
        <v>1.1910112334651416E-2</v>
      </c>
      <c r="T14" s="7">
        <f>$B14 * IFERROR(VLOOKUP("LULUCF|NOx|Minor restricted activity days", US_national_yearly!$D:$AM, 28, FALSE) / VLOOKUP("LULUCF|NOx|Minor restricted activity days", US_national_yearly!$D:$AM, 10, FALSE), 1)</f>
        <v>1.1995181835809963E-2</v>
      </c>
      <c r="U14" s="7">
        <f>$B14 * IFERROR(VLOOKUP("LULUCF|NOx|Minor restricted activity days", US_national_yearly!$D:$AM, 29, FALSE) / VLOOKUP("LULUCF|NOx|Minor restricted activity days", US_national_yearly!$D:$AM, 10, FALSE), 1)</f>
        <v>1.2080251336968514E-2</v>
      </c>
      <c r="V14" s="7">
        <f>$B14 * IFERROR(VLOOKUP("LULUCF|NOx|Minor restricted activity days", US_national_yearly!$D:$AM, 30, FALSE) / VLOOKUP("LULUCF|NOx|Minor restricted activity days", US_national_yearly!$D:$AM, 10, FALSE), 1)</f>
        <v>1.2165320838127063E-2</v>
      </c>
      <c r="W14" s="7">
        <f>$B14 * IFERROR(VLOOKUP("LULUCF|NOx|Minor restricted activity days", US_national_yearly!$D:$AM, 31, FALSE) / VLOOKUP("LULUCF|NOx|Minor restricted activity days", US_national_yearly!$D:$AM, 10, FALSE), 1)</f>
        <v>1.2250390339285612E-2</v>
      </c>
      <c r="X14" s="7">
        <f>$B14 * IFERROR(VLOOKUP("LULUCF|NOx|Minor restricted activity days", US_national_yearly!$D:$AM, 32, FALSE) / VLOOKUP("LULUCF|NOx|Minor restricted activity days", US_national_yearly!$D:$AM, 10, FALSE), 1)</f>
        <v>1.2322313361721921E-2</v>
      </c>
      <c r="Y14" s="7">
        <f>$B14 * IFERROR(VLOOKUP("LULUCF|NOx|Minor restricted activity days", US_national_yearly!$D:$AM, 33, FALSE) / VLOOKUP("LULUCF|NOx|Minor restricted activity days", US_national_yearly!$D:$AM, 10, FALSE), 1)</f>
        <v>1.2394236384158232E-2</v>
      </c>
      <c r="Z14" s="7">
        <f>$B14 * IFERROR(VLOOKUP("LULUCF|NOx|Minor restricted activity days", US_national_yearly!$D:$AM, 34, FALSE) / VLOOKUP("LULUCF|NOx|Minor restricted activity days", US_national_yearly!$D:$AM, 10, FALSE), 1)</f>
        <v>1.2466159406594542E-2</v>
      </c>
      <c r="AA14" s="7">
        <f>$B14 * IFERROR(VLOOKUP("LULUCF|NOx|Minor restricted activity days", US_national_yearly!$D:$AM, 35, FALSE) / VLOOKUP("LULUCF|NOx|Minor restricted activity days", US_national_yearly!$D:$AM, 10, FALSE), 1)</f>
        <v>1.2538082429030853E-2</v>
      </c>
      <c r="AB14" s="7">
        <f>$B14 * IFERROR(VLOOKUP("LULUCF|NOx|Minor restricted activity days", US_national_yearly!$D:$AM, 36, FALSE) / VLOOKUP("LULUCF|NOx|Minor restricted activity days", US_national_yearly!$D:$AM, 10, FALSE), 1)</f>
        <v>1.2610005451467163E-2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1.8590180344365552E-3</v>
      </c>
      <c r="C15" s="7">
        <f>$B15 * IFERROR(VLOOKUP("LULUCF|NOx|Work loss days", US_national_yearly!$D:$AM, 11, FALSE) / VLOOKUP("LULUCF|NOx|Work loss days", US_national_yearly!$D:$AM, 10, FALSE), 1)</f>
        <v>1.8631533200453064E-3</v>
      </c>
      <c r="D15" s="7">
        <f>$B15 * IFERROR(VLOOKUP("LULUCF|NOx|Work loss days", US_national_yearly!$D:$AM, 12, FALSE) / VLOOKUP("LULUCF|NOx|Work loss days", US_national_yearly!$D:$AM, 10, FALSE), 1)</f>
        <v>1.8672886056540581E-3</v>
      </c>
      <c r="E15" s="7">
        <f>$B15 * IFERROR(VLOOKUP("LULUCF|NOx|Work loss days", US_national_yearly!$D:$AM, 13, FALSE) / VLOOKUP("LULUCF|NOx|Work loss days", US_national_yearly!$D:$AM, 10, FALSE), 1)</f>
        <v>1.8714238912628093E-3</v>
      </c>
      <c r="F15" s="7">
        <f>$B15 * IFERROR(VLOOKUP("LULUCF|NOx|Work loss days", US_national_yearly!$D:$AM, 14, FALSE) / VLOOKUP("LULUCF|NOx|Work loss days", US_national_yearly!$D:$AM, 10, FALSE), 1)</f>
        <v>1.875559176871561E-3</v>
      </c>
      <c r="G15" s="7">
        <f>$B15 * IFERROR(VLOOKUP("LULUCF|NOx|Work loss days", US_national_yearly!$D:$AM, 15, FALSE) / VLOOKUP("LULUCF|NOx|Work loss days", US_national_yearly!$D:$AM, 10, FALSE), 1)</f>
        <v>1.8815967291361602E-3</v>
      </c>
      <c r="H15" s="7">
        <f>$B15 * IFERROR(VLOOKUP("LULUCF|NOx|Work loss days", US_national_yearly!$D:$AM, 16, FALSE) / VLOOKUP("LULUCF|NOx|Work loss days", US_national_yearly!$D:$AM, 10, FALSE), 1)</f>
        <v>1.8876342814007601E-3</v>
      </c>
      <c r="I15" s="7">
        <f>$B15 * IFERROR(VLOOKUP("LULUCF|NOx|Work loss days", US_national_yearly!$D:$AM, 17, FALSE) / VLOOKUP("LULUCF|NOx|Work loss days", US_national_yearly!$D:$AM, 10, FALSE), 1)</f>
        <v>1.8974147888569202E-3</v>
      </c>
      <c r="J15" s="7">
        <f>$B15 * IFERROR(VLOOKUP("LULUCF|NOx|Work loss days", US_national_yearly!$D:$AM, 18, FALSE) / VLOOKUP("LULUCF|NOx|Work loss days", US_national_yearly!$D:$AM, 10, FALSE), 1)</f>
        <v>1.9071952963130808E-3</v>
      </c>
      <c r="K15" s="7">
        <f>$B15 * IFERROR(VLOOKUP("LULUCF|NOx|Work loss days", US_national_yearly!$D:$AM, 19, FALSE) / VLOOKUP("LULUCF|NOx|Work loss days", US_national_yearly!$D:$AM, 10, FALSE), 1)</f>
        <v>1.9169758037692409E-3</v>
      </c>
      <c r="L15" s="7">
        <f>$B15 * IFERROR(VLOOKUP("LULUCF|NOx|Work loss days", US_national_yearly!$D:$AM, 20, FALSE) / VLOOKUP("LULUCF|NOx|Work loss days", US_national_yearly!$D:$AM, 10, FALSE), 1)</f>
        <v>1.9267563112254011E-3</v>
      </c>
      <c r="M15" s="7">
        <f>$B15 * IFERROR(VLOOKUP("LULUCF|NOx|Work loss days", US_national_yearly!$D:$AM, 21, FALSE) / VLOOKUP("LULUCF|NOx|Work loss days", US_national_yearly!$D:$AM, 10, FALSE), 1)</f>
        <v>1.9365368186815615E-3</v>
      </c>
      <c r="N15" s="7">
        <f>$B15 * IFERROR(VLOOKUP("LULUCF|NOx|Work loss days", US_national_yearly!$D:$AM, 22, FALSE) / VLOOKUP("LULUCF|NOx|Work loss days", US_national_yearly!$D:$AM, 10, FALSE), 1)</f>
        <v>1.9492655489770836E-3</v>
      </c>
      <c r="O15" s="7">
        <f>$B15 * IFERROR(VLOOKUP("LULUCF|NOx|Work loss days", US_national_yearly!$D:$AM, 23, FALSE) / VLOOKUP("LULUCF|NOx|Work loss days", US_national_yearly!$D:$AM, 10, FALSE), 1)</f>
        <v>1.9619942792726058E-3</v>
      </c>
      <c r="P15" s="7">
        <f>$B15 * IFERROR(VLOOKUP("LULUCF|NOx|Work loss days", US_national_yearly!$D:$AM, 24, FALSE) / VLOOKUP("LULUCF|NOx|Work loss days", US_national_yearly!$D:$AM, 10, FALSE), 1)</f>
        <v>1.9747230095681278E-3</v>
      </c>
      <c r="Q15" s="7">
        <f>$B15 * IFERROR(VLOOKUP("LULUCF|NOx|Work loss days", US_national_yearly!$D:$AM, 25, FALSE) / VLOOKUP("LULUCF|NOx|Work loss days", US_national_yearly!$D:$AM, 10, FALSE), 1)</f>
        <v>1.9874517398636494E-3</v>
      </c>
      <c r="R15" s="7">
        <f>$B15 * IFERROR(VLOOKUP("LULUCF|NOx|Work loss days", US_national_yearly!$D:$AM, 26, FALSE) / VLOOKUP("LULUCF|NOx|Work loss days", US_national_yearly!$D:$AM, 10, FALSE), 1)</f>
        <v>2.0001804701591719E-3</v>
      </c>
      <c r="S15" s="7">
        <f>$B15 * IFERROR(VLOOKUP("LULUCF|NOx|Work loss days", US_national_yearly!$D:$AM, 27, FALSE) / VLOOKUP("LULUCF|NOx|Work loss days", US_national_yearly!$D:$AM, 10, FALSE), 1)</f>
        <v>2.0143713769177063E-3</v>
      </c>
      <c r="T15" s="7">
        <f>$B15 * IFERROR(VLOOKUP("LULUCF|NOx|Work loss days", US_national_yearly!$D:$AM, 28, FALSE) / VLOOKUP("LULUCF|NOx|Work loss days", US_national_yearly!$D:$AM, 10, FALSE), 1)</f>
        <v>2.0285622836762407E-3</v>
      </c>
      <c r="U15" s="7">
        <f>$B15 * IFERROR(VLOOKUP("LULUCF|NOx|Work loss days", US_national_yearly!$D:$AM, 29, FALSE) / VLOOKUP("LULUCF|NOx|Work loss days", US_national_yearly!$D:$AM, 10, FALSE), 1)</f>
        <v>2.0427531904347747E-3</v>
      </c>
      <c r="V15" s="7">
        <f>$B15 * IFERROR(VLOOKUP("LULUCF|NOx|Work loss days", US_national_yearly!$D:$AM, 30, FALSE) / VLOOKUP("LULUCF|NOx|Work loss days", US_national_yearly!$D:$AM, 10, FALSE), 1)</f>
        <v>2.0569440971933092E-3</v>
      </c>
      <c r="W15" s="7">
        <f>$B15 * IFERROR(VLOOKUP("LULUCF|NOx|Work loss days", US_national_yearly!$D:$AM, 31, FALSE) / VLOOKUP("LULUCF|NOx|Work loss days", US_national_yearly!$D:$AM, 10, FALSE), 1)</f>
        <v>2.0711350039518436E-3</v>
      </c>
      <c r="X15" s="7">
        <f>$B15 * IFERROR(VLOOKUP("LULUCF|NOx|Work loss days", US_national_yearly!$D:$AM, 32, FALSE) / VLOOKUP("LULUCF|NOx|Work loss days", US_national_yearly!$D:$AM, 10, FALSE), 1)</f>
        <v>2.0834519544053573E-3</v>
      </c>
      <c r="Y15" s="7">
        <f>$B15 * IFERROR(VLOOKUP("LULUCF|NOx|Work loss days", US_national_yearly!$D:$AM, 33, FALSE) / VLOOKUP("LULUCF|NOx|Work loss days", US_national_yearly!$D:$AM, 10, FALSE), 1)</f>
        <v>2.095768904858871E-3</v>
      </c>
      <c r="Z15" s="7">
        <f>$B15 * IFERROR(VLOOKUP("LULUCF|NOx|Work loss days", US_national_yearly!$D:$AM, 34, FALSE) / VLOOKUP("LULUCF|NOx|Work loss days", US_national_yearly!$D:$AM, 10, FALSE), 1)</f>
        <v>2.1080858553123847E-3</v>
      </c>
      <c r="AA15" s="7">
        <f>$B15 * IFERROR(VLOOKUP("LULUCF|NOx|Work loss days", US_national_yearly!$D:$AM, 35, FALSE) / VLOOKUP("LULUCF|NOx|Work loss days", US_national_yearly!$D:$AM, 10, FALSE), 1)</f>
        <v>2.1204028057658984E-3</v>
      </c>
      <c r="AB15" s="7">
        <f>$B15 * IFERROR(VLOOKUP("LULUCF|NOx|Work loss days", US_national_yearly!$D:$AM, 36, FALSE) / VLOOKUP("LULUCF|NOx|Work loss days", US_national_yearly!$D:$AM, 10, FALSE), 1)</f>
        <v>2.1327197562194121E-3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3.2376076377267617E-6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3.3327435458039204E-6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3.4278794538810787E-6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3.5230153619582371E-6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3.6181512700353958E-6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3.7085146496460945E-6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3.7988780292567941E-6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3.8748666603681279E-6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3.9508552914794624E-6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4.0268439225907962E-6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4.1028325537021308E-6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4.1788211848134653E-6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4.2263393937143992E-6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4.2738576026153339E-6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4.3213758115162677E-6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4.3688940204172024E-6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4.4164122293181362E-6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4.4380934831667741E-6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4.459774737015412E-6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4.4814559908640499E-6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4.5031372447126877E-6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4.5248184985613256E-6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4.5368848680088128E-6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4.5489512374563001E-6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4.5610176069037873E-6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4.5730839763512745E-6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4.5851503457987617E-6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3.7532281884812163E-5</v>
      </c>
      <c r="C2" s="7">
        <f>$B2 * IFERROR(VLOOKUP("LULUCF|SO2|Premature mortality", US_national_yearly!$D:$AM, 11, FALSE) / VLOOKUP("LULUCF|SO2|Premature mortality", US_national_yearly!$D:$AM, 10, FALSE), 1)</f>
        <v>3.8007607927500573E-5</v>
      </c>
      <c r="D2" s="7">
        <f>$B2 * IFERROR(VLOOKUP("LULUCF|SO2|Premature mortality", US_national_yearly!$D:$AM, 12, FALSE) / VLOOKUP("LULUCF|SO2|Premature mortality", US_national_yearly!$D:$AM, 10, FALSE), 1)</f>
        <v>3.8482933970188991E-5</v>
      </c>
      <c r="E2" s="7">
        <f>$B2 * IFERROR(VLOOKUP("LULUCF|SO2|Premature mortality", US_national_yearly!$D:$AM, 13, FALSE) / VLOOKUP("LULUCF|SO2|Premature mortality", US_national_yearly!$D:$AM, 10, FALSE), 1)</f>
        <v>3.8958260012877394E-5</v>
      </c>
      <c r="F2" s="7">
        <f>$B2 * IFERROR(VLOOKUP("LULUCF|SO2|Premature mortality", US_national_yearly!$D:$AM, 14, FALSE) / VLOOKUP("LULUCF|SO2|Premature mortality", US_national_yearly!$D:$AM, 10, FALSE), 1)</f>
        <v>3.9433586055565805E-5</v>
      </c>
      <c r="G2" s="7">
        <f>$B2 * IFERROR(VLOOKUP("LULUCF|SO2|Premature mortality", US_national_yearly!$D:$AM, 15, FALSE) / VLOOKUP("LULUCF|SO2|Premature mortality", US_national_yearly!$D:$AM, 10, FALSE), 1)</f>
        <v>4.0349512401268696E-5</v>
      </c>
      <c r="H2" s="7">
        <f>$B2 * IFERROR(VLOOKUP("LULUCF|SO2|Premature mortality", US_national_yearly!$D:$AM, 16, FALSE) / VLOOKUP("LULUCF|SO2|Premature mortality", US_national_yearly!$D:$AM, 10, FALSE), 1)</f>
        <v>4.1265438746971573E-5</v>
      </c>
      <c r="I2" s="7">
        <f>$B2 * IFERROR(VLOOKUP("LULUCF|SO2|Premature mortality", US_national_yearly!$D:$AM, 17, FALSE) / VLOOKUP("LULUCF|SO2|Premature mortality", US_national_yearly!$D:$AM, 10, FALSE), 1)</f>
        <v>4.1870738998700745E-5</v>
      </c>
      <c r="J2" s="7">
        <f>$B2 * IFERROR(VLOOKUP("LULUCF|SO2|Premature mortality", US_national_yearly!$D:$AM, 18, FALSE) / VLOOKUP("LULUCF|SO2|Premature mortality", US_national_yearly!$D:$AM, 10, FALSE), 1)</f>
        <v>4.247603925042991E-5</v>
      </c>
      <c r="K2" s="7">
        <f>$B2 * IFERROR(VLOOKUP("LULUCF|SO2|Premature mortality", US_national_yearly!$D:$AM, 19, FALSE) / VLOOKUP("LULUCF|SO2|Premature mortality", US_national_yearly!$D:$AM, 10, FALSE), 1)</f>
        <v>4.3081339502159068E-5</v>
      </c>
      <c r="L2" s="7">
        <f>$B2 * IFERROR(VLOOKUP("LULUCF|SO2|Premature mortality", US_national_yearly!$D:$AM, 20, FALSE) / VLOOKUP("LULUCF|SO2|Premature mortality", US_national_yearly!$D:$AM, 10, FALSE), 1)</f>
        <v>4.368663975388824E-5</v>
      </c>
      <c r="M2" s="7">
        <f>$B2 * IFERROR(VLOOKUP("LULUCF|SO2|Premature mortality", US_national_yearly!$D:$AM, 21, FALSE) / VLOOKUP("LULUCF|SO2|Premature mortality", US_national_yearly!$D:$AM, 10, FALSE), 1)</f>
        <v>4.4291940005617405E-5</v>
      </c>
      <c r="N2" s="7">
        <f>$B2 * IFERROR(VLOOKUP("LULUCF|SO2|Premature mortality", US_national_yearly!$D:$AM, 22, FALSE) / VLOOKUP("LULUCF|SO2|Premature mortality", US_national_yearly!$D:$AM, 10, FALSE), 1)</f>
        <v>4.4764888789182436E-5</v>
      </c>
      <c r="O2" s="7">
        <f>$B2 * IFERROR(VLOOKUP("LULUCF|SO2|Premature mortality", US_national_yearly!$D:$AM, 23, FALSE) / VLOOKUP("LULUCF|SO2|Premature mortality", US_national_yearly!$D:$AM, 10, FALSE), 1)</f>
        <v>4.5237837572747467E-5</v>
      </c>
      <c r="P2" s="7">
        <f>$B2 * IFERROR(VLOOKUP("LULUCF|SO2|Premature mortality", US_national_yearly!$D:$AM, 24, FALSE) / VLOOKUP("LULUCF|SO2|Premature mortality", US_national_yearly!$D:$AM, 10, FALSE), 1)</f>
        <v>4.5710786356312498E-5</v>
      </c>
      <c r="Q2" s="7">
        <f>$B2 * IFERROR(VLOOKUP("LULUCF|SO2|Premature mortality", US_national_yearly!$D:$AM, 25, FALSE) / VLOOKUP("LULUCF|SO2|Premature mortality", US_national_yearly!$D:$AM, 10, FALSE), 1)</f>
        <v>4.6183735139877529E-5</v>
      </c>
      <c r="R2" s="7">
        <f>$B2 * IFERROR(VLOOKUP("LULUCF|SO2|Premature mortality", US_national_yearly!$D:$AM, 26, FALSE) / VLOOKUP("LULUCF|SO2|Premature mortality", US_national_yearly!$D:$AM, 10, FALSE), 1)</f>
        <v>4.6656683923442553E-5</v>
      </c>
      <c r="S2" s="7">
        <f>$B2 * IFERROR(VLOOKUP("LULUCF|SO2|Premature mortality", US_national_yearly!$D:$AM, 27, FALSE) / VLOOKUP("LULUCF|SO2|Premature mortality", US_national_yearly!$D:$AM, 10, FALSE), 1)</f>
        <v>4.6909954294448918E-5</v>
      </c>
      <c r="T2" s="7">
        <f>$B2 * IFERROR(VLOOKUP("LULUCF|SO2|Premature mortality", US_national_yearly!$D:$AM, 28, FALSE) / VLOOKUP("LULUCF|SO2|Premature mortality", US_national_yearly!$D:$AM, 10, FALSE), 1)</f>
        <v>4.7163224665455269E-5</v>
      </c>
      <c r="U2" s="7">
        <f>$B2 * IFERROR(VLOOKUP("LULUCF|SO2|Premature mortality", US_national_yearly!$D:$AM, 29, FALSE) / VLOOKUP("LULUCF|SO2|Premature mortality", US_national_yearly!$D:$AM, 10, FALSE), 1)</f>
        <v>4.7416495036461626E-5</v>
      </c>
      <c r="V2" s="7">
        <f>$B2 * IFERROR(VLOOKUP("LULUCF|SO2|Premature mortality", US_national_yearly!$D:$AM, 30, FALSE) / VLOOKUP("LULUCF|SO2|Premature mortality", US_national_yearly!$D:$AM, 10, FALSE), 1)</f>
        <v>4.7669765407467977E-5</v>
      </c>
      <c r="W2" s="7">
        <f>$B2 * IFERROR(VLOOKUP("LULUCF|SO2|Premature mortality", US_national_yearly!$D:$AM, 31, FALSE) / VLOOKUP("LULUCF|SO2|Premature mortality", US_national_yearly!$D:$AM, 10, FALSE), 1)</f>
        <v>4.7923035778474342E-5</v>
      </c>
      <c r="X2" s="7">
        <f>$B2 * IFERROR(VLOOKUP("LULUCF|SO2|Premature mortality", US_national_yearly!$D:$AM, 32, FALSE) / VLOOKUP("LULUCF|SO2|Premature mortality", US_national_yearly!$D:$AM, 10, FALSE), 1)</f>
        <v>4.7974488429040091E-5</v>
      </c>
      <c r="Y2" s="7">
        <f>$B2 * IFERROR(VLOOKUP("LULUCF|SO2|Premature mortality", US_national_yearly!$D:$AM, 33, FALSE) / VLOOKUP("LULUCF|SO2|Premature mortality", US_national_yearly!$D:$AM, 10, FALSE), 1)</f>
        <v>4.8025941079605839E-5</v>
      </c>
      <c r="Z2" s="7">
        <f>$B2 * IFERROR(VLOOKUP("LULUCF|SO2|Premature mortality", US_national_yearly!$D:$AM, 34, FALSE) / VLOOKUP("LULUCF|SO2|Premature mortality", US_national_yearly!$D:$AM, 10, FALSE), 1)</f>
        <v>4.8077393730171595E-5</v>
      </c>
      <c r="AA2" s="7">
        <f>$B2 * IFERROR(VLOOKUP("LULUCF|SO2|Premature mortality", US_national_yearly!$D:$AM, 35, FALSE) / VLOOKUP("LULUCF|SO2|Premature mortality", US_national_yearly!$D:$AM, 10, FALSE), 1)</f>
        <v>4.8128846380737344E-5</v>
      </c>
      <c r="AB2" s="7">
        <f>$B2 * IFERROR(VLOOKUP("LULUCF|SO2|Premature mortality", US_national_yearly!$D:$AM, 36, FALSE) / VLOOKUP("LULUCF|SO2|Premature mortality", US_national_yearly!$D:$AM, 10, FALSE), 1)</f>
        <v>4.8180299031303093E-5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1.160757186214753E-7</v>
      </c>
      <c r="C3" s="7">
        <f>$B3 * IFERROR(VLOOKUP("LULUCF|SO2|Infant mortality", US_national_yearly!$D:$AM, 11, FALSE) / VLOOKUP("LULUCF|SO2|Infant mortality", US_national_yearly!$D:$AM, 10, FALSE), 1)</f>
        <v>1.1507860702565909E-7</v>
      </c>
      <c r="D3" s="7">
        <f>$B3 * IFERROR(VLOOKUP("LULUCF|SO2|Infant mortality", US_national_yearly!$D:$AM, 12, FALSE) / VLOOKUP("LULUCF|SO2|Infant mortality", US_national_yearly!$D:$AM, 10, FALSE), 1)</f>
        <v>1.1408149542984291E-7</v>
      </c>
      <c r="E3" s="7">
        <f>$B3 * IFERROR(VLOOKUP("LULUCF|SO2|Infant mortality", US_national_yearly!$D:$AM, 13, FALSE) / VLOOKUP("LULUCF|SO2|Infant mortality", US_national_yearly!$D:$AM, 10, FALSE), 1)</f>
        <v>1.1308438383402669E-7</v>
      </c>
      <c r="F3" s="7">
        <f>$B3 * IFERROR(VLOOKUP("LULUCF|SO2|Infant mortality", US_national_yearly!$D:$AM, 14, FALSE) / VLOOKUP("LULUCF|SO2|Infant mortality", US_national_yearly!$D:$AM, 10, FALSE), 1)</f>
        <v>1.1208727223821049E-7</v>
      </c>
      <c r="G3" s="7">
        <f>$B3 * IFERROR(VLOOKUP("LULUCF|SO2|Infant mortality", US_national_yearly!$D:$AM, 15, FALSE) / VLOOKUP("LULUCF|SO2|Infant mortality", US_national_yearly!$D:$AM, 10, FALSE), 1)</f>
        <v>7.4659150996729591E-8</v>
      </c>
      <c r="H3" s="7">
        <f>$B3 * IFERROR(VLOOKUP("LULUCF|SO2|Infant mortality", US_national_yearly!$D:$AM, 16, FALSE) / VLOOKUP("LULUCF|SO2|Infant mortality", US_national_yearly!$D:$AM, 10, FALSE), 1)</f>
        <v>3.7231029755248745E-8</v>
      </c>
      <c r="I3" s="7">
        <f>$B3 * IFERROR(VLOOKUP("LULUCF|SO2|Infant mortality", US_national_yearly!$D:$AM, 17, FALSE) / VLOOKUP("LULUCF|SO2|Infant mortality", US_national_yearly!$D:$AM, 10, FALSE), 1)</f>
        <v>3.6997468262788366E-8</v>
      </c>
      <c r="J3" s="7">
        <f>$B3 * IFERROR(VLOOKUP("LULUCF|SO2|Infant mortality", US_national_yearly!$D:$AM, 18, FALSE) / VLOOKUP("LULUCF|SO2|Infant mortality", US_national_yearly!$D:$AM, 10, FALSE), 1)</f>
        <v>3.676390677032798E-8</v>
      </c>
      <c r="K3" s="7">
        <f>$B3 * IFERROR(VLOOKUP("LULUCF|SO2|Infant mortality", US_national_yearly!$D:$AM, 19, FALSE) / VLOOKUP("LULUCF|SO2|Infant mortality", US_national_yearly!$D:$AM, 10, FALSE), 1)</f>
        <v>3.6530345277867594E-8</v>
      </c>
      <c r="L3" s="7">
        <f>$B3 * IFERROR(VLOOKUP("LULUCF|SO2|Infant mortality", US_national_yearly!$D:$AM, 20, FALSE) / VLOOKUP("LULUCF|SO2|Infant mortality", US_national_yearly!$D:$AM, 10, FALSE), 1)</f>
        <v>3.6296783785407222E-8</v>
      </c>
      <c r="M3" s="7">
        <f>$B3 * IFERROR(VLOOKUP("LULUCF|SO2|Infant mortality", US_national_yearly!$D:$AM, 21, FALSE) / VLOOKUP("LULUCF|SO2|Infant mortality", US_national_yearly!$D:$AM, 10, FALSE), 1)</f>
        <v>3.6063222292946836E-8</v>
      </c>
      <c r="N3" s="7">
        <f>$B3 * IFERROR(VLOOKUP("LULUCF|SO2|Infant mortality", US_national_yearly!$D:$AM, 22, FALSE) / VLOOKUP("LULUCF|SO2|Infant mortality", US_national_yearly!$D:$AM, 10, FALSE), 1)</f>
        <v>3.5916617492725455E-8</v>
      </c>
      <c r="O3" s="7">
        <f>$B3 * IFERROR(VLOOKUP("LULUCF|SO2|Infant mortality", US_national_yearly!$D:$AM, 23, FALSE) / VLOOKUP("LULUCF|SO2|Infant mortality", US_national_yearly!$D:$AM, 10, FALSE), 1)</f>
        <v>3.577001269250408E-8</v>
      </c>
      <c r="P3" s="7">
        <f>$B3 * IFERROR(VLOOKUP("LULUCF|SO2|Infant mortality", US_national_yearly!$D:$AM, 24, FALSE) / VLOOKUP("LULUCF|SO2|Infant mortality", US_national_yearly!$D:$AM, 10, FALSE), 1)</f>
        <v>3.5623407892282693E-8</v>
      </c>
      <c r="Q3" s="7">
        <f>$B3 * IFERROR(VLOOKUP("LULUCF|SO2|Infant mortality", US_national_yearly!$D:$AM, 25, FALSE) / VLOOKUP("LULUCF|SO2|Infant mortality", US_national_yearly!$D:$AM, 10, FALSE), 1)</f>
        <v>3.5476803092061312E-8</v>
      </c>
      <c r="R3" s="7">
        <f>$B3 * IFERROR(VLOOKUP("LULUCF|SO2|Infant mortality", US_national_yearly!$D:$AM, 26, FALSE) / VLOOKUP("LULUCF|SO2|Infant mortality", US_national_yearly!$D:$AM, 10, FALSE), 1)</f>
        <v>3.5330198291839931E-8</v>
      </c>
      <c r="S3" s="7">
        <f>$B3 * IFERROR(VLOOKUP("LULUCF|SO2|Infant mortality", US_national_yearly!$D:$AM, 27, FALSE) / VLOOKUP("LULUCF|SO2|Infant mortality", US_national_yearly!$D:$AM, 10, FALSE), 1)</f>
        <v>3.5146127033806375E-8</v>
      </c>
      <c r="T3" s="7">
        <f>$B3 * IFERROR(VLOOKUP("LULUCF|SO2|Infant mortality", US_national_yearly!$D:$AM, 28, FALSE) / VLOOKUP("LULUCF|SO2|Infant mortality", US_national_yearly!$D:$AM, 10, FALSE), 1)</f>
        <v>3.496205577577282E-8</v>
      </c>
      <c r="U3" s="7">
        <f>$B3 * IFERROR(VLOOKUP("LULUCF|SO2|Infant mortality", US_national_yearly!$D:$AM, 29, FALSE) / VLOOKUP("LULUCF|SO2|Infant mortality", US_national_yearly!$D:$AM, 10, FALSE), 1)</f>
        <v>3.4777984517739251E-8</v>
      </c>
      <c r="V3" s="7">
        <f>$B3 * IFERROR(VLOOKUP("LULUCF|SO2|Infant mortality", US_national_yearly!$D:$AM, 30, FALSE) / VLOOKUP("LULUCF|SO2|Infant mortality", US_national_yearly!$D:$AM, 10, FALSE), 1)</f>
        <v>3.4593913259705702E-8</v>
      </c>
      <c r="W3" s="7">
        <f>$B3 * IFERROR(VLOOKUP("LULUCF|SO2|Infant mortality", US_national_yearly!$D:$AM, 31, FALSE) / VLOOKUP("LULUCF|SO2|Infant mortality", US_national_yearly!$D:$AM, 10, FALSE), 1)</f>
        <v>3.4409842001672147E-8</v>
      </c>
      <c r="X3" s="7">
        <f>$B3 * IFERROR(VLOOKUP("LULUCF|SO2|Infant mortality", US_national_yearly!$D:$AM, 32, FALSE) / VLOOKUP("LULUCF|SO2|Infant mortality", US_national_yearly!$D:$AM, 10, FALSE), 1)</f>
        <v>3.4208595298984894E-8</v>
      </c>
      <c r="Y3" s="7">
        <f>$B3 * IFERROR(VLOOKUP("LULUCF|SO2|Infant mortality", US_national_yearly!$D:$AM, 33, FALSE) / VLOOKUP("LULUCF|SO2|Infant mortality", US_national_yearly!$D:$AM, 10, FALSE), 1)</f>
        <v>3.4007348596297629E-8</v>
      </c>
      <c r="Z3" s="7">
        <f>$B3 * IFERROR(VLOOKUP("LULUCF|SO2|Infant mortality", US_national_yearly!$D:$AM, 34, FALSE) / VLOOKUP("LULUCF|SO2|Infant mortality", US_national_yearly!$D:$AM, 10, FALSE), 1)</f>
        <v>3.3806101893610377E-8</v>
      </c>
      <c r="AA3" s="7">
        <f>$B3 * IFERROR(VLOOKUP("LULUCF|SO2|Infant mortality", US_national_yearly!$D:$AM, 35, FALSE) / VLOOKUP("LULUCF|SO2|Infant mortality", US_national_yearly!$D:$AM, 10, FALSE), 1)</f>
        <v>3.3604855190923118E-8</v>
      </c>
      <c r="AB3" s="7">
        <f>$B3 * IFERROR(VLOOKUP("LULUCF|SO2|Infant mortality", US_national_yearly!$D:$AM, 36, FALSE) / VLOOKUP("LULUCF|SO2|Infant mortality", US_national_yearly!$D:$AM, 10, FALSE), 1)</f>
        <v>3.3403608488235866E-8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1.0320920507639228E-4</v>
      </c>
      <c r="C6" s="7">
        <f>$B6 * IFERROR(VLOOKUP("LULUCF|SO2|Asthma symptoms cough", US_national_yearly!$D:$AM, 11, FALSE) / VLOOKUP("LULUCF|SO2|Asthma symptoms cough", US_national_yearly!$D:$AM, 10, FALSE), 1)</f>
        <v>1.0320920507639228E-4</v>
      </c>
      <c r="D6" s="7">
        <f>$B6 * IFERROR(VLOOKUP("LULUCF|SO2|Asthma symptoms cough", US_national_yearly!$D:$AM, 12, FALSE) / VLOOKUP("LULUCF|SO2|Asthma symptoms cough", US_national_yearly!$D:$AM, 10, FALSE), 1)</f>
        <v>1.0320920507639228E-4</v>
      </c>
      <c r="E6" s="7">
        <f>$B6 * IFERROR(VLOOKUP("LULUCF|SO2|Asthma symptoms cough", US_national_yearly!$D:$AM, 13, FALSE) / VLOOKUP("LULUCF|SO2|Asthma symptoms cough", US_national_yearly!$D:$AM, 10, FALSE), 1)</f>
        <v>1.0320920507639228E-4</v>
      </c>
      <c r="F6" s="7">
        <f>$B6 * IFERROR(VLOOKUP("LULUCF|SO2|Asthma symptoms cough", US_national_yearly!$D:$AM, 14, FALSE) / VLOOKUP("LULUCF|SO2|Asthma symptoms cough", US_national_yearly!$D:$AM, 10, FALSE), 1)</f>
        <v>1.0320920507639228E-4</v>
      </c>
      <c r="G6" s="7">
        <f>$B6 * IFERROR(VLOOKUP("LULUCF|SO2|Asthma symptoms cough", US_national_yearly!$D:$AM, 15, FALSE) / VLOOKUP("LULUCF|SO2|Asthma symptoms cough", US_national_yearly!$D:$AM, 10, FALSE), 1)</f>
        <v>1.0320920507639228E-4</v>
      </c>
      <c r="H6" s="7">
        <f>$B6 * IFERROR(VLOOKUP("LULUCF|SO2|Asthma symptoms cough", US_national_yearly!$D:$AM, 16, FALSE) / VLOOKUP("LULUCF|SO2|Asthma symptoms cough", US_national_yearly!$D:$AM, 10, FALSE), 1)</f>
        <v>1.0320920507639228E-4</v>
      </c>
      <c r="I6" s="7">
        <f>$B6 * IFERROR(VLOOKUP("LULUCF|SO2|Asthma symptoms cough", US_national_yearly!$D:$AM, 17, FALSE) / VLOOKUP("LULUCF|SO2|Asthma symptoms cough", US_national_yearly!$D:$AM, 10, FALSE), 1)</f>
        <v>1.0320920507639228E-4</v>
      </c>
      <c r="J6" s="7">
        <f>$B6 * IFERROR(VLOOKUP("LULUCF|SO2|Asthma symptoms cough", US_national_yearly!$D:$AM, 18, FALSE) / VLOOKUP("LULUCF|SO2|Asthma symptoms cough", US_national_yearly!$D:$AM, 10, FALSE), 1)</f>
        <v>1.0320920507639228E-4</v>
      </c>
      <c r="K6" s="7">
        <f>$B6 * IFERROR(VLOOKUP("LULUCF|SO2|Asthma symptoms cough", US_national_yearly!$D:$AM, 19, FALSE) / VLOOKUP("LULUCF|SO2|Asthma symptoms cough", US_national_yearly!$D:$AM, 10, FALSE), 1)</f>
        <v>1.0320920507639228E-4</v>
      </c>
      <c r="L6" s="7">
        <f>$B6 * IFERROR(VLOOKUP("LULUCF|SO2|Asthma symptoms cough", US_national_yearly!$D:$AM, 20, FALSE) / VLOOKUP("LULUCF|SO2|Asthma symptoms cough", US_national_yearly!$D:$AM, 10, FALSE), 1)</f>
        <v>1.0320920507639228E-4</v>
      </c>
      <c r="M6" s="7">
        <f>$B6 * IFERROR(VLOOKUP("LULUCF|SO2|Asthma symptoms cough", US_national_yearly!$D:$AM, 21, FALSE) / VLOOKUP("LULUCF|SO2|Asthma symptoms cough", US_national_yearly!$D:$AM, 10, FALSE), 1)</f>
        <v>1.0320920507639228E-4</v>
      </c>
      <c r="N6" s="7">
        <f>$B6 * IFERROR(VLOOKUP("LULUCF|SO2|Asthma symptoms cough", US_national_yearly!$D:$AM, 22, FALSE) / VLOOKUP("LULUCF|SO2|Asthma symptoms cough", US_national_yearly!$D:$AM, 10, FALSE), 1)</f>
        <v>1.0320920507639228E-4</v>
      </c>
      <c r="O6" s="7">
        <f>$B6 * IFERROR(VLOOKUP("LULUCF|SO2|Asthma symptoms cough", US_national_yearly!$D:$AM, 23, FALSE) / VLOOKUP("LULUCF|SO2|Asthma symptoms cough", US_national_yearly!$D:$AM, 10, FALSE), 1)</f>
        <v>1.0320920507639228E-4</v>
      </c>
      <c r="P6" s="7">
        <f>$B6 * IFERROR(VLOOKUP("LULUCF|SO2|Asthma symptoms cough", US_national_yearly!$D:$AM, 24, FALSE) / VLOOKUP("LULUCF|SO2|Asthma symptoms cough", US_national_yearly!$D:$AM, 10, FALSE), 1)</f>
        <v>1.0320920507639228E-4</v>
      </c>
      <c r="Q6" s="7">
        <f>$B6 * IFERROR(VLOOKUP("LULUCF|SO2|Asthma symptoms cough", US_national_yearly!$D:$AM, 25, FALSE) / VLOOKUP("LULUCF|SO2|Asthma symptoms cough", US_national_yearly!$D:$AM, 10, FALSE), 1)</f>
        <v>1.0320920507639228E-4</v>
      </c>
      <c r="R6" s="7">
        <f>$B6 * IFERROR(VLOOKUP("LULUCF|SO2|Asthma symptoms cough", US_national_yearly!$D:$AM, 26, FALSE) / VLOOKUP("LULUCF|SO2|Asthma symptoms cough", US_national_yearly!$D:$AM, 10, FALSE), 1)</f>
        <v>1.0320920507639228E-4</v>
      </c>
      <c r="S6" s="7">
        <f>$B6 * IFERROR(VLOOKUP("LULUCF|SO2|Asthma symptoms cough", US_national_yearly!$D:$AM, 27, FALSE) / VLOOKUP("LULUCF|SO2|Asthma symptoms cough", US_national_yearly!$D:$AM, 10, FALSE), 1)</f>
        <v>1.0320920507639228E-4</v>
      </c>
      <c r="T6" s="7">
        <f>$B6 * IFERROR(VLOOKUP("LULUCF|SO2|Asthma symptoms cough", US_national_yearly!$D:$AM, 28, FALSE) / VLOOKUP("LULUCF|SO2|Asthma symptoms cough", US_national_yearly!$D:$AM, 10, FALSE), 1)</f>
        <v>1.0320920507639228E-4</v>
      </c>
      <c r="U6" s="7">
        <f>$B6 * IFERROR(VLOOKUP("LULUCF|SO2|Asthma symptoms cough", US_national_yearly!$D:$AM, 29, FALSE) / VLOOKUP("LULUCF|SO2|Asthma symptoms cough", US_national_yearly!$D:$AM, 10, FALSE), 1)</f>
        <v>1.0320920507639228E-4</v>
      </c>
      <c r="V6" s="7">
        <f>$B6 * IFERROR(VLOOKUP("LULUCF|SO2|Asthma symptoms cough", US_national_yearly!$D:$AM, 30, FALSE) / VLOOKUP("LULUCF|SO2|Asthma symptoms cough", US_national_yearly!$D:$AM, 10, FALSE), 1)</f>
        <v>1.0320920507639228E-4</v>
      </c>
      <c r="W6" s="7">
        <f>$B6 * IFERROR(VLOOKUP("LULUCF|SO2|Asthma symptoms cough", US_national_yearly!$D:$AM, 31, FALSE) / VLOOKUP("LULUCF|SO2|Asthma symptoms cough", US_national_yearly!$D:$AM, 10, FALSE), 1)</f>
        <v>1.0320920507639228E-4</v>
      </c>
      <c r="X6" s="7">
        <f>$B6 * IFERROR(VLOOKUP("LULUCF|SO2|Asthma symptoms cough", US_national_yearly!$D:$AM, 32, FALSE) / VLOOKUP("LULUCF|SO2|Asthma symptoms cough", US_national_yearly!$D:$AM, 10, FALSE), 1)</f>
        <v>1.0320920507639228E-4</v>
      </c>
      <c r="Y6" s="7">
        <f>$B6 * IFERROR(VLOOKUP("LULUCF|SO2|Asthma symptoms cough", US_national_yearly!$D:$AM, 33, FALSE) / VLOOKUP("LULUCF|SO2|Asthma symptoms cough", US_national_yearly!$D:$AM, 10, FALSE), 1)</f>
        <v>1.0320920507639228E-4</v>
      </c>
      <c r="Z6" s="7">
        <f>$B6 * IFERROR(VLOOKUP("LULUCF|SO2|Asthma symptoms cough", US_national_yearly!$D:$AM, 34, FALSE) / VLOOKUP("LULUCF|SO2|Asthma symptoms cough", US_national_yearly!$D:$AM, 10, FALSE), 1)</f>
        <v>1.0320920507639228E-4</v>
      </c>
      <c r="AA6" s="7">
        <f>$B6 * IFERROR(VLOOKUP("LULUCF|SO2|Asthma symptoms cough", US_national_yearly!$D:$AM, 35, FALSE) / VLOOKUP("LULUCF|SO2|Asthma symptoms cough", US_national_yearly!$D:$AM, 10, FALSE), 1)</f>
        <v>1.0320920507639228E-4</v>
      </c>
      <c r="AB6" s="7">
        <f>$B6 * IFERROR(VLOOKUP("LULUCF|SO2|Asthma symptoms cough", US_national_yearly!$D:$AM, 36, FALSE) / VLOOKUP("LULUCF|SO2|Asthma symptoms cough", US_national_yearly!$D:$AM, 10, FALSE), 1)</f>
        <v>1.0320920507639228E-4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1.3898625229312911E-4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1.3898625229312911E-4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1.3898625229312911E-4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1.3898625229312911E-4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1.3898625229312911E-4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1.3898625229312911E-4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1.3898625229312911E-4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1.3898625229312911E-4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1.3898625229312911E-4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1.3898625229312911E-4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1.3898625229312911E-4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1.3898625229312911E-4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1.3898625229312911E-4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1.3898625229312911E-4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1.3898625229312911E-4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1.3898625229312911E-4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1.3898625229312911E-4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1.3898625229312911E-4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1.3898625229312911E-4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1.3898625229312911E-4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1.3898625229312911E-4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1.3898625229312911E-4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1.3898625229312911E-4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1.3898625229312911E-4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1.3898625229312911E-4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1.3898625229312911E-4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1.3898625229312911E-4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2.1234714196541571E-4</v>
      </c>
      <c r="C8" s="7">
        <f>$B8 * IFERROR(VLOOKUP("LULUCF|SO2|Asthma symptoms wheeze", US_national_yearly!$D:$AM, 11, FALSE) / VLOOKUP("LULUCF|SO2|Asthma symptoms wheeze", US_national_yearly!$D:$AM, 10, FALSE), 1)</f>
        <v>2.1234714196541571E-4</v>
      </c>
      <c r="D8" s="7">
        <f>$B8 * IFERROR(VLOOKUP("LULUCF|SO2|Asthma symptoms wheeze", US_national_yearly!$D:$AM, 12, FALSE) / VLOOKUP("LULUCF|SO2|Asthma symptoms wheeze", US_national_yearly!$D:$AM, 10, FALSE), 1)</f>
        <v>2.1234714196541571E-4</v>
      </c>
      <c r="E8" s="7">
        <f>$B8 * IFERROR(VLOOKUP("LULUCF|SO2|Asthma symptoms wheeze", US_national_yearly!$D:$AM, 13, FALSE) / VLOOKUP("LULUCF|SO2|Asthma symptoms wheeze", US_national_yearly!$D:$AM, 10, FALSE), 1)</f>
        <v>2.1234714196541571E-4</v>
      </c>
      <c r="F8" s="7">
        <f>$B8 * IFERROR(VLOOKUP("LULUCF|SO2|Asthma symptoms wheeze", US_national_yearly!$D:$AM, 14, FALSE) / VLOOKUP("LULUCF|SO2|Asthma symptoms wheeze", US_national_yearly!$D:$AM, 10, FALSE), 1)</f>
        <v>2.1234714196541571E-4</v>
      </c>
      <c r="G8" s="7">
        <f>$B8 * IFERROR(VLOOKUP("LULUCF|SO2|Asthma symptoms wheeze", US_national_yearly!$D:$AM, 15, FALSE) / VLOOKUP("LULUCF|SO2|Asthma symptoms wheeze", US_national_yearly!$D:$AM, 10, FALSE), 1)</f>
        <v>2.1234714196541571E-4</v>
      </c>
      <c r="H8" s="7">
        <f>$B8 * IFERROR(VLOOKUP("LULUCF|SO2|Asthma symptoms wheeze", US_national_yearly!$D:$AM, 16, FALSE) / VLOOKUP("LULUCF|SO2|Asthma symptoms wheeze", US_national_yearly!$D:$AM, 10, FALSE), 1)</f>
        <v>2.1234714196541571E-4</v>
      </c>
      <c r="I8" s="7">
        <f>$B8 * IFERROR(VLOOKUP("LULUCF|SO2|Asthma symptoms wheeze", US_national_yearly!$D:$AM, 17, FALSE) / VLOOKUP("LULUCF|SO2|Asthma symptoms wheeze", US_national_yearly!$D:$AM, 10, FALSE), 1)</f>
        <v>2.1234714196541571E-4</v>
      </c>
      <c r="J8" s="7">
        <f>$B8 * IFERROR(VLOOKUP("LULUCF|SO2|Asthma symptoms wheeze", US_national_yearly!$D:$AM, 18, FALSE) / VLOOKUP("LULUCF|SO2|Asthma symptoms wheeze", US_national_yearly!$D:$AM, 10, FALSE), 1)</f>
        <v>2.1234714196541571E-4</v>
      </c>
      <c r="K8" s="7">
        <f>$B8 * IFERROR(VLOOKUP("LULUCF|SO2|Asthma symptoms wheeze", US_national_yearly!$D:$AM, 19, FALSE) / VLOOKUP("LULUCF|SO2|Asthma symptoms wheeze", US_national_yearly!$D:$AM, 10, FALSE), 1)</f>
        <v>2.1234714196541571E-4</v>
      </c>
      <c r="L8" s="7">
        <f>$B8 * IFERROR(VLOOKUP("LULUCF|SO2|Asthma symptoms wheeze", US_national_yearly!$D:$AM, 20, FALSE) / VLOOKUP("LULUCF|SO2|Asthma symptoms wheeze", US_national_yearly!$D:$AM, 10, FALSE), 1)</f>
        <v>2.1234714196541571E-4</v>
      </c>
      <c r="M8" s="7">
        <f>$B8 * IFERROR(VLOOKUP("LULUCF|SO2|Asthma symptoms wheeze", US_national_yearly!$D:$AM, 21, FALSE) / VLOOKUP("LULUCF|SO2|Asthma symptoms wheeze", US_national_yearly!$D:$AM, 10, FALSE), 1)</f>
        <v>2.1234714196541571E-4</v>
      </c>
      <c r="N8" s="7">
        <f>$B8 * IFERROR(VLOOKUP("LULUCF|SO2|Asthma symptoms wheeze", US_national_yearly!$D:$AM, 22, FALSE) / VLOOKUP("LULUCF|SO2|Asthma symptoms wheeze", US_national_yearly!$D:$AM, 10, FALSE), 1)</f>
        <v>2.1234714196541571E-4</v>
      </c>
      <c r="O8" s="7">
        <f>$B8 * IFERROR(VLOOKUP("LULUCF|SO2|Asthma symptoms wheeze", US_national_yearly!$D:$AM, 23, FALSE) / VLOOKUP("LULUCF|SO2|Asthma symptoms wheeze", US_national_yearly!$D:$AM, 10, FALSE), 1)</f>
        <v>2.1234714196541571E-4</v>
      </c>
      <c r="P8" s="7">
        <f>$B8 * IFERROR(VLOOKUP("LULUCF|SO2|Asthma symptoms wheeze", US_national_yearly!$D:$AM, 24, FALSE) / VLOOKUP("LULUCF|SO2|Asthma symptoms wheeze", US_national_yearly!$D:$AM, 10, FALSE), 1)</f>
        <v>2.1234714196541571E-4</v>
      </c>
      <c r="Q8" s="7">
        <f>$B8 * IFERROR(VLOOKUP("LULUCF|SO2|Asthma symptoms wheeze", US_national_yearly!$D:$AM, 25, FALSE) / VLOOKUP("LULUCF|SO2|Asthma symptoms wheeze", US_national_yearly!$D:$AM, 10, FALSE), 1)</f>
        <v>2.1234714196541571E-4</v>
      </c>
      <c r="R8" s="7">
        <f>$B8 * IFERROR(VLOOKUP("LULUCF|SO2|Asthma symptoms wheeze", US_national_yearly!$D:$AM, 26, FALSE) / VLOOKUP("LULUCF|SO2|Asthma symptoms wheeze", US_national_yearly!$D:$AM, 10, FALSE), 1)</f>
        <v>2.1234714196541571E-4</v>
      </c>
      <c r="S8" s="7">
        <f>$B8 * IFERROR(VLOOKUP("LULUCF|SO2|Asthma symptoms wheeze", US_national_yearly!$D:$AM, 27, FALSE) / VLOOKUP("LULUCF|SO2|Asthma symptoms wheeze", US_national_yearly!$D:$AM, 10, FALSE), 1)</f>
        <v>2.1234714196541571E-4</v>
      </c>
      <c r="T8" s="7">
        <f>$B8 * IFERROR(VLOOKUP("LULUCF|SO2|Asthma symptoms wheeze", US_national_yearly!$D:$AM, 28, FALSE) / VLOOKUP("LULUCF|SO2|Asthma symptoms wheeze", US_national_yearly!$D:$AM, 10, FALSE), 1)</f>
        <v>2.1234714196541571E-4</v>
      </c>
      <c r="U8" s="7">
        <f>$B8 * IFERROR(VLOOKUP("LULUCF|SO2|Asthma symptoms wheeze", US_national_yearly!$D:$AM, 29, FALSE) / VLOOKUP("LULUCF|SO2|Asthma symptoms wheeze", US_national_yearly!$D:$AM, 10, FALSE), 1)</f>
        <v>2.1234714196541571E-4</v>
      </c>
      <c r="V8" s="7">
        <f>$B8 * IFERROR(VLOOKUP("LULUCF|SO2|Asthma symptoms wheeze", US_national_yearly!$D:$AM, 30, FALSE) / VLOOKUP("LULUCF|SO2|Asthma symptoms wheeze", US_national_yearly!$D:$AM, 10, FALSE), 1)</f>
        <v>2.1234714196541571E-4</v>
      </c>
      <c r="W8" s="7">
        <f>$B8 * IFERROR(VLOOKUP("LULUCF|SO2|Asthma symptoms wheeze", US_national_yearly!$D:$AM, 31, FALSE) / VLOOKUP("LULUCF|SO2|Asthma symptoms wheeze", US_national_yearly!$D:$AM, 10, FALSE), 1)</f>
        <v>2.1234714196541571E-4</v>
      </c>
      <c r="X8" s="7">
        <f>$B8 * IFERROR(VLOOKUP("LULUCF|SO2|Asthma symptoms wheeze", US_national_yearly!$D:$AM, 32, FALSE) / VLOOKUP("LULUCF|SO2|Asthma symptoms wheeze", US_national_yearly!$D:$AM, 10, FALSE), 1)</f>
        <v>2.1234714196541571E-4</v>
      </c>
      <c r="Y8" s="7">
        <f>$B8 * IFERROR(VLOOKUP("LULUCF|SO2|Asthma symptoms wheeze", US_national_yearly!$D:$AM, 33, FALSE) / VLOOKUP("LULUCF|SO2|Asthma symptoms wheeze", US_national_yearly!$D:$AM, 10, FALSE), 1)</f>
        <v>2.1234714196541571E-4</v>
      </c>
      <c r="Z8" s="7">
        <f>$B8 * IFERROR(VLOOKUP("LULUCF|SO2|Asthma symptoms wheeze", US_national_yearly!$D:$AM, 34, FALSE) / VLOOKUP("LULUCF|SO2|Asthma symptoms wheeze", US_national_yearly!$D:$AM, 10, FALSE), 1)</f>
        <v>2.1234714196541571E-4</v>
      </c>
      <c r="AA8" s="7">
        <f>$B8 * IFERROR(VLOOKUP("LULUCF|SO2|Asthma symptoms wheeze", US_national_yearly!$D:$AM, 35, FALSE) / VLOOKUP("LULUCF|SO2|Asthma symptoms wheeze", US_national_yearly!$D:$AM, 10, FALSE), 1)</f>
        <v>2.1234714196541571E-4</v>
      </c>
      <c r="AB8" s="7">
        <f>$B8 * IFERROR(VLOOKUP("LULUCF|SO2|Asthma symptoms wheeze", US_national_yearly!$D:$AM, 36, FALSE) / VLOOKUP("LULUCF|SO2|Asthma symptoms wheeze", US_national_yearly!$D:$AM, 10, FALSE), 1)</f>
        <v>2.1234714196541571E-4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3.6242008236687601E-6</v>
      </c>
      <c r="C12" s="7">
        <f>$B12 * IFERROR(VLOOKUP("LULUCF|SO2|Respiratory hospital admissions", US_national_yearly!$D:$AM, 11, FALSE) / VLOOKUP("LULUCF|SO2|Respiratory hospital admissions", US_national_yearly!$D:$AM, 10, FALSE), 1)</f>
        <v>3.645576540231054E-6</v>
      </c>
      <c r="D12" s="7">
        <f>$B12 * IFERROR(VLOOKUP("LULUCF|SO2|Respiratory hospital admissions", US_national_yearly!$D:$AM, 12, FALSE) / VLOOKUP("LULUCF|SO2|Respiratory hospital admissions", US_national_yearly!$D:$AM, 10, FALSE), 1)</f>
        <v>3.6669522567933482E-6</v>
      </c>
      <c r="E12" s="7">
        <f>$B12 * IFERROR(VLOOKUP("LULUCF|SO2|Respiratory hospital admissions", US_national_yearly!$D:$AM, 13, FALSE) / VLOOKUP("LULUCF|SO2|Respiratory hospital admissions", US_national_yearly!$D:$AM, 10, FALSE), 1)</f>
        <v>3.6883279733556421E-6</v>
      </c>
      <c r="F12" s="7">
        <f>$B12 * IFERROR(VLOOKUP("LULUCF|SO2|Respiratory hospital admissions", US_national_yearly!$D:$AM, 14, FALSE) / VLOOKUP("LULUCF|SO2|Respiratory hospital admissions", US_national_yearly!$D:$AM, 10, FALSE), 1)</f>
        <v>3.7097036899179363E-6</v>
      </c>
      <c r="G12" s="7">
        <f>$B12 * IFERROR(VLOOKUP("LULUCF|SO2|Respiratory hospital admissions", US_national_yearly!$D:$AM, 15, FALSE) / VLOOKUP("LULUCF|SO2|Respiratory hospital admissions", US_national_yearly!$D:$AM, 10, FALSE), 1)</f>
        <v>3.733006826434212E-6</v>
      </c>
      <c r="H12" s="7">
        <f>$B12 * IFERROR(VLOOKUP("LULUCF|SO2|Respiratory hospital admissions", US_national_yearly!$D:$AM, 16, FALSE) / VLOOKUP("LULUCF|SO2|Respiratory hospital admissions", US_national_yearly!$D:$AM, 10, FALSE), 1)</f>
        <v>3.7563099629504881E-6</v>
      </c>
      <c r="I12" s="7">
        <f>$B12 * IFERROR(VLOOKUP("LULUCF|SO2|Respiratory hospital admissions", US_national_yearly!$D:$AM, 17, FALSE) / VLOOKUP("LULUCF|SO2|Respiratory hospital admissions", US_national_yearly!$D:$AM, 10, FALSE), 1)</f>
        <v>3.7792896301232232E-6</v>
      </c>
      <c r="J12" s="7">
        <f>$B12 * IFERROR(VLOOKUP("LULUCF|SO2|Respiratory hospital admissions", US_national_yearly!$D:$AM, 18, FALSE) / VLOOKUP("LULUCF|SO2|Respiratory hospital admissions", US_national_yearly!$D:$AM, 10, FALSE), 1)</f>
        <v>3.8022692972959591E-6</v>
      </c>
      <c r="K12" s="7">
        <f>$B12 * IFERROR(VLOOKUP("LULUCF|SO2|Respiratory hospital admissions", US_national_yearly!$D:$AM, 19, FALSE) / VLOOKUP("LULUCF|SO2|Respiratory hospital admissions", US_national_yearly!$D:$AM, 10, FALSE), 1)</f>
        <v>3.8252489644686934E-6</v>
      </c>
      <c r="L12" s="7">
        <f>$B12 * IFERROR(VLOOKUP("LULUCF|SO2|Respiratory hospital admissions", US_national_yearly!$D:$AM, 20, FALSE) / VLOOKUP("LULUCF|SO2|Respiratory hospital admissions", US_national_yearly!$D:$AM, 10, FALSE), 1)</f>
        <v>3.8482286316414293E-6</v>
      </c>
      <c r="M12" s="7">
        <f>$B12 * IFERROR(VLOOKUP("LULUCF|SO2|Respiratory hospital admissions", US_national_yearly!$D:$AM, 21, FALSE) / VLOOKUP("LULUCF|SO2|Respiratory hospital admissions", US_national_yearly!$D:$AM, 10, FALSE), 1)</f>
        <v>3.8712082988141644E-6</v>
      </c>
      <c r="N12" s="7">
        <f>$B12 * IFERROR(VLOOKUP("LULUCF|SO2|Respiratory hospital admissions", US_national_yearly!$D:$AM, 22, FALSE) / VLOOKUP("LULUCF|SO2|Respiratory hospital admissions", US_national_yearly!$D:$AM, 10, FALSE), 1)</f>
        <v>3.8879827465001609E-6</v>
      </c>
      <c r="O12" s="7">
        <f>$B12 * IFERROR(VLOOKUP("LULUCF|SO2|Respiratory hospital admissions", US_national_yearly!$D:$AM, 23, FALSE) / VLOOKUP("LULUCF|SO2|Respiratory hospital admissions", US_national_yearly!$D:$AM, 10, FALSE), 1)</f>
        <v>3.9047571941861565E-6</v>
      </c>
      <c r="P12" s="7">
        <f>$B12 * IFERROR(VLOOKUP("LULUCF|SO2|Respiratory hospital admissions", US_national_yearly!$D:$AM, 24, FALSE) / VLOOKUP("LULUCF|SO2|Respiratory hospital admissions", US_national_yearly!$D:$AM, 10, FALSE), 1)</f>
        <v>3.9215316418721521E-6</v>
      </c>
      <c r="Q12" s="7">
        <f>$B12 * IFERROR(VLOOKUP("LULUCF|SO2|Respiratory hospital admissions", US_national_yearly!$D:$AM, 25, FALSE) / VLOOKUP("LULUCF|SO2|Respiratory hospital admissions", US_national_yearly!$D:$AM, 10, FALSE), 1)</f>
        <v>3.9383060895581486E-6</v>
      </c>
      <c r="R12" s="7">
        <f>$B12 * IFERROR(VLOOKUP("LULUCF|SO2|Respiratory hospital admissions", US_national_yearly!$D:$AM, 26, FALSE) / VLOOKUP("LULUCF|SO2|Respiratory hospital admissions", US_national_yearly!$D:$AM, 10, FALSE), 1)</f>
        <v>3.9550805372441442E-6</v>
      </c>
      <c r="S12" s="7">
        <f>$B12 * IFERROR(VLOOKUP("LULUCF|SO2|Respiratory hospital admissions", US_national_yearly!$D:$AM, 27, FALSE) / VLOOKUP("LULUCF|SO2|Respiratory hospital admissions", US_national_yearly!$D:$AM, 10, FALSE), 1)</f>
        <v>3.971082080410109E-6</v>
      </c>
      <c r="T12" s="7">
        <f>$B12 * IFERROR(VLOOKUP("LULUCF|SO2|Respiratory hospital admissions", US_national_yearly!$D:$AM, 28, FALSE) / VLOOKUP("LULUCF|SO2|Respiratory hospital admissions", US_national_yearly!$D:$AM, 10, FALSE), 1)</f>
        <v>3.9870836235760738E-6</v>
      </c>
      <c r="U12" s="7">
        <f>$B12 * IFERROR(VLOOKUP("LULUCF|SO2|Respiratory hospital admissions", US_national_yearly!$D:$AM, 29, FALSE) / VLOOKUP("LULUCF|SO2|Respiratory hospital admissions", US_national_yearly!$D:$AM, 10, FALSE), 1)</f>
        <v>4.0030851667420386E-6</v>
      </c>
      <c r="V12" s="7">
        <f>$B12 * IFERROR(VLOOKUP("LULUCF|SO2|Respiratory hospital admissions", US_national_yearly!$D:$AM, 30, FALSE) / VLOOKUP("LULUCF|SO2|Respiratory hospital admissions", US_national_yearly!$D:$AM, 10, FALSE), 1)</f>
        <v>4.0190867099080034E-6</v>
      </c>
      <c r="W12" s="7">
        <f>$B12 * IFERROR(VLOOKUP("LULUCF|SO2|Respiratory hospital admissions", US_national_yearly!$D:$AM, 31, FALSE) / VLOOKUP("LULUCF|SO2|Respiratory hospital admissions", US_national_yearly!$D:$AM, 10, FALSE), 1)</f>
        <v>4.035088253073969E-6</v>
      </c>
      <c r="X12" s="7">
        <f>$B12 * IFERROR(VLOOKUP("LULUCF|SO2|Respiratory hospital admissions", US_national_yearly!$D:$AM, 32, FALSE) / VLOOKUP("LULUCF|SO2|Respiratory hospital admissions", US_national_yearly!$D:$AM, 10, FALSE), 1)</f>
        <v>4.0502710903972897E-6</v>
      </c>
      <c r="Y12" s="7">
        <f>$B12 * IFERROR(VLOOKUP("LULUCF|SO2|Respiratory hospital admissions", US_national_yearly!$D:$AM, 33, FALSE) / VLOOKUP("LULUCF|SO2|Respiratory hospital admissions", US_national_yearly!$D:$AM, 10, FALSE), 1)</f>
        <v>4.0654539277206105E-6</v>
      </c>
      <c r="Z12" s="7">
        <f>$B12 * IFERROR(VLOOKUP("LULUCF|SO2|Respiratory hospital admissions", US_national_yearly!$D:$AM, 34, FALSE) / VLOOKUP("LULUCF|SO2|Respiratory hospital admissions", US_national_yearly!$D:$AM, 10, FALSE), 1)</f>
        <v>4.080636765043932E-6</v>
      </c>
      <c r="AA12" s="7">
        <f>$B12 * IFERROR(VLOOKUP("LULUCF|SO2|Respiratory hospital admissions", US_national_yearly!$D:$AM, 35, FALSE) / VLOOKUP("LULUCF|SO2|Respiratory hospital admissions", US_national_yearly!$D:$AM, 10, FALSE), 1)</f>
        <v>4.0958196023672527E-6</v>
      </c>
      <c r="AB12" s="7">
        <f>$B12 * IFERROR(VLOOKUP("LULUCF|SO2|Respiratory hospital admissions", US_national_yearly!$D:$AM, 36, FALSE) / VLOOKUP("LULUCF|SO2|Respiratory hospital admissions", US_national_yearly!$D:$AM, 10, FALSE), 1)</f>
        <v>4.1110024396905751E-6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1.6789772139651647E-5</v>
      </c>
      <c r="C13" s="7">
        <f>$B13 * IFERROR(VLOOKUP("LULUCF|SO2|Non-fatal heart attacks", US_national_yearly!$D:$AM, 11, FALSE) / VLOOKUP("LULUCF|SO2|Non-fatal heart attacks", US_national_yearly!$D:$AM, 10, FALSE), 1)</f>
        <v>1.728265886587562E-5</v>
      </c>
      <c r="D13" s="7">
        <f>$B13 * IFERROR(VLOOKUP("LULUCF|SO2|Non-fatal heart attacks", US_national_yearly!$D:$AM, 12, FALSE) / VLOOKUP("LULUCF|SO2|Non-fatal heart attacks", US_national_yearly!$D:$AM, 10, FALSE), 1)</f>
        <v>1.777554559209959E-5</v>
      </c>
      <c r="E13" s="7">
        <f>$B13 * IFERROR(VLOOKUP("LULUCF|SO2|Non-fatal heart attacks", US_national_yearly!$D:$AM, 13, FALSE) / VLOOKUP("LULUCF|SO2|Non-fatal heart attacks", US_national_yearly!$D:$AM, 10, FALSE), 1)</f>
        <v>1.8268432318323564E-5</v>
      </c>
      <c r="F13" s="7">
        <f>$B13 * IFERROR(VLOOKUP("LULUCF|SO2|Non-fatal heart attacks", US_national_yearly!$D:$AM, 14, FALSE) / VLOOKUP("LULUCF|SO2|Non-fatal heart attacks", US_national_yearly!$D:$AM, 10, FALSE), 1)</f>
        <v>1.8761319044547534E-5</v>
      </c>
      <c r="G13" s="7">
        <f>$B13 * IFERROR(VLOOKUP("LULUCF|SO2|Non-fatal heart attacks", US_national_yearly!$D:$AM, 15, FALSE) / VLOOKUP("LULUCF|SO2|Non-fatal heart attacks", US_national_yearly!$D:$AM, 10, FALSE), 1)</f>
        <v>1.9226156945413505E-5</v>
      </c>
      <c r="H13" s="7">
        <f>$B13 * IFERROR(VLOOKUP("LULUCF|SO2|Non-fatal heart attacks", US_national_yearly!$D:$AM, 16, FALSE) / VLOOKUP("LULUCF|SO2|Non-fatal heart attacks", US_national_yearly!$D:$AM, 10, FALSE), 1)</f>
        <v>1.9690994846279476E-5</v>
      </c>
      <c r="I13" s="7">
        <f>$B13 * IFERROR(VLOOKUP("LULUCF|SO2|Non-fatal heart attacks", US_national_yearly!$D:$AM, 17, FALSE) / VLOOKUP("LULUCF|SO2|Non-fatal heart attacks", US_national_yearly!$D:$AM, 10, FALSE), 1)</f>
        <v>2.0065043636534068E-5</v>
      </c>
      <c r="J13" s="7">
        <f>$B13 * IFERROR(VLOOKUP("LULUCF|SO2|Non-fatal heart attacks", US_national_yearly!$D:$AM, 18, FALSE) / VLOOKUP("LULUCF|SO2|Non-fatal heart attacks", US_national_yearly!$D:$AM, 10, FALSE), 1)</f>
        <v>2.0439092426788664E-5</v>
      </c>
      <c r="K13" s="7">
        <f>$B13 * IFERROR(VLOOKUP("LULUCF|SO2|Non-fatal heart attacks", US_national_yearly!$D:$AM, 19, FALSE) / VLOOKUP("LULUCF|SO2|Non-fatal heart attacks", US_national_yearly!$D:$AM, 10, FALSE), 1)</f>
        <v>2.0813141217043256E-5</v>
      </c>
      <c r="L13" s="7">
        <f>$B13 * IFERROR(VLOOKUP("LULUCF|SO2|Non-fatal heart attacks", US_national_yearly!$D:$AM, 20, FALSE) / VLOOKUP("LULUCF|SO2|Non-fatal heart attacks", US_national_yearly!$D:$AM, 10, FALSE), 1)</f>
        <v>2.1187190007297858E-5</v>
      </c>
      <c r="M13" s="7">
        <f>$B13 * IFERROR(VLOOKUP("LULUCF|SO2|Non-fatal heart attacks", US_national_yearly!$D:$AM, 21, FALSE) / VLOOKUP("LULUCF|SO2|Non-fatal heart attacks", US_national_yearly!$D:$AM, 10, FALSE), 1)</f>
        <v>2.1561238797552454E-5</v>
      </c>
      <c r="N13" s="7">
        <f>$B13 * IFERROR(VLOOKUP("LULUCF|SO2|Non-fatal heart attacks", US_national_yearly!$D:$AM, 22, FALSE) / VLOOKUP("LULUCF|SO2|Non-fatal heart attacks", US_national_yearly!$D:$AM, 10, FALSE), 1)</f>
        <v>2.1804113196173717E-5</v>
      </c>
      <c r="O13" s="7">
        <f>$B13 * IFERROR(VLOOKUP("LULUCF|SO2|Non-fatal heart attacks", US_national_yearly!$D:$AM, 23, FALSE) / VLOOKUP("LULUCF|SO2|Non-fatal heart attacks", US_national_yearly!$D:$AM, 10, FALSE), 1)</f>
        <v>2.2046987594794988E-5</v>
      </c>
      <c r="P13" s="7">
        <f>$B13 * IFERROR(VLOOKUP("LULUCF|SO2|Non-fatal heart attacks", US_national_yearly!$D:$AM, 24, FALSE) / VLOOKUP("LULUCF|SO2|Non-fatal heart attacks", US_national_yearly!$D:$AM, 10, FALSE), 1)</f>
        <v>2.2289861993416261E-5</v>
      </c>
      <c r="Q13" s="7">
        <f>$B13 * IFERROR(VLOOKUP("LULUCF|SO2|Non-fatal heart attacks", US_national_yearly!$D:$AM, 25, FALSE) / VLOOKUP("LULUCF|SO2|Non-fatal heart attacks", US_national_yearly!$D:$AM, 10, FALSE), 1)</f>
        <v>2.2532736392037528E-5</v>
      </c>
      <c r="R13" s="7">
        <f>$B13 * IFERROR(VLOOKUP("LULUCF|SO2|Non-fatal heart attacks", US_national_yearly!$D:$AM, 26, FALSE) / VLOOKUP("LULUCF|SO2|Non-fatal heart attacks", US_national_yearly!$D:$AM, 10, FALSE), 1)</f>
        <v>2.2775610790658795E-5</v>
      </c>
      <c r="S13" s="7">
        <f>$B13 * IFERROR(VLOOKUP("LULUCF|SO2|Non-fatal heart attacks", US_national_yearly!$D:$AM, 27, FALSE) / VLOOKUP("LULUCF|SO2|Non-fatal heart attacks", US_national_yearly!$D:$AM, 10, FALSE), 1)</f>
        <v>2.2902414148061703E-5</v>
      </c>
      <c r="T13" s="7">
        <f>$B13 * IFERROR(VLOOKUP("LULUCF|SO2|Non-fatal heart attacks", US_national_yearly!$D:$AM, 28, FALSE) / VLOOKUP("LULUCF|SO2|Non-fatal heart attacks", US_national_yearly!$D:$AM, 10, FALSE), 1)</f>
        <v>2.3029217505464614E-5</v>
      </c>
      <c r="U13" s="7">
        <f>$B13 * IFERROR(VLOOKUP("LULUCF|SO2|Non-fatal heart attacks", US_national_yearly!$D:$AM, 29, FALSE) / VLOOKUP("LULUCF|SO2|Non-fatal heart attacks", US_national_yearly!$D:$AM, 10, FALSE), 1)</f>
        <v>2.3156020862867518E-5</v>
      </c>
      <c r="V13" s="7">
        <f>$B13 * IFERROR(VLOOKUP("LULUCF|SO2|Non-fatal heart attacks", US_national_yearly!$D:$AM, 30, FALSE) / VLOOKUP("LULUCF|SO2|Non-fatal heart attacks", US_national_yearly!$D:$AM, 10, FALSE), 1)</f>
        <v>2.3282824220270422E-5</v>
      </c>
      <c r="W13" s="7">
        <f>$B13 * IFERROR(VLOOKUP("LULUCF|SO2|Non-fatal heart attacks", US_national_yearly!$D:$AM, 31, FALSE) / VLOOKUP("LULUCF|SO2|Non-fatal heart attacks", US_national_yearly!$D:$AM, 10, FALSE), 1)</f>
        <v>2.3409627577673333E-5</v>
      </c>
      <c r="X13" s="7">
        <f>$B13 * IFERROR(VLOOKUP("LULUCF|SO2|Non-fatal heart attacks", US_national_yearly!$D:$AM, 32, FALSE) / VLOOKUP("LULUCF|SO2|Non-fatal heart attacks", US_national_yearly!$D:$AM, 10, FALSE), 1)</f>
        <v>2.3505353020534513E-5</v>
      </c>
      <c r="Y13" s="7">
        <f>$B13 * IFERROR(VLOOKUP("LULUCF|SO2|Non-fatal heart attacks", US_national_yearly!$D:$AM, 33, FALSE) / VLOOKUP("LULUCF|SO2|Non-fatal heart attacks", US_national_yearly!$D:$AM, 10, FALSE), 1)</f>
        <v>2.3601078463395693E-5</v>
      </c>
      <c r="Z13" s="7">
        <f>$B13 * IFERROR(VLOOKUP("LULUCF|SO2|Non-fatal heart attacks", US_national_yearly!$D:$AM, 34, FALSE) / VLOOKUP("LULUCF|SO2|Non-fatal heart attacks", US_national_yearly!$D:$AM, 10, FALSE), 1)</f>
        <v>2.3696803906256872E-5</v>
      </c>
      <c r="AA13" s="7">
        <f>$B13 * IFERROR(VLOOKUP("LULUCF|SO2|Non-fatal heart attacks", US_national_yearly!$D:$AM, 35, FALSE) / VLOOKUP("LULUCF|SO2|Non-fatal heart attacks", US_national_yearly!$D:$AM, 10, FALSE), 1)</f>
        <v>2.3792529349118052E-5</v>
      </c>
      <c r="AB13" s="7">
        <f>$B13 * IFERROR(VLOOKUP("LULUCF|SO2|Non-fatal heart attacks", US_national_yearly!$D:$AM, 36, FALSE) / VLOOKUP("LULUCF|SO2|Non-fatal heart attacks", US_national_yearly!$D:$AM, 10, FALSE), 1)</f>
        <v>2.3888254791979232E-5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1.0974397580861555E-2</v>
      </c>
      <c r="C14" s="7">
        <f>$B14 * IFERROR(VLOOKUP("LULUCF|SO2|Minor restricted activity days", US_national_yearly!$D:$AM, 11, FALSE) / VLOOKUP("LULUCF|SO2|Minor restricted activity days", US_national_yearly!$D:$AM, 10, FALSE), 1)</f>
        <v>1.100206038057789E-2</v>
      </c>
      <c r="D14" s="7">
        <f>$B14 * IFERROR(VLOOKUP("LULUCF|SO2|Minor restricted activity days", US_national_yearly!$D:$AM, 12, FALSE) / VLOOKUP("LULUCF|SO2|Minor restricted activity days", US_national_yearly!$D:$AM, 10, FALSE), 1)</f>
        <v>1.1029723180294222E-2</v>
      </c>
      <c r="E14" s="7">
        <f>$B14 * IFERROR(VLOOKUP("LULUCF|SO2|Minor restricted activity days", US_national_yearly!$D:$AM, 13, FALSE) / VLOOKUP("LULUCF|SO2|Minor restricted activity days", US_national_yearly!$D:$AM, 10, FALSE), 1)</f>
        <v>1.1057385980010558E-2</v>
      </c>
      <c r="F14" s="7">
        <f>$B14 * IFERROR(VLOOKUP("LULUCF|SO2|Minor restricted activity days", US_national_yearly!$D:$AM, 14, FALSE) / VLOOKUP("LULUCF|SO2|Minor restricted activity days", US_national_yearly!$D:$AM, 10, FALSE), 1)</f>
        <v>1.1085048779726891E-2</v>
      </c>
      <c r="G14" s="7">
        <f>$B14 * IFERROR(VLOOKUP("LULUCF|SO2|Minor restricted activity days", US_national_yearly!$D:$AM, 15, FALSE) / VLOOKUP("LULUCF|SO2|Minor restricted activity days", US_national_yearly!$D:$AM, 10, FALSE), 1)</f>
        <v>1.1125765703300716E-2</v>
      </c>
      <c r="H14" s="7">
        <f>$B14 * IFERROR(VLOOKUP("LULUCF|SO2|Minor restricted activity days", US_national_yearly!$D:$AM, 16, FALSE) / VLOOKUP("LULUCF|SO2|Minor restricted activity days", US_national_yearly!$D:$AM, 10, FALSE), 1)</f>
        <v>1.116648262687454E-2</v>
      </c>
      <c r="I14" s="7">
        <f>$B14 * IFERROR(VLOOKUP("LULUCF|SO2|Minor restricted activity days", US_national_yearly!$D:$AM, 17, FALSE) / VLOOKUP("LULUCF|SO2|Minor restricted activity days", US_national_yearly!$D:$AM, 10, FALSE), 1)</f>
        <v>1.1235921544767755E-2</v>
      </c>
      <c r="J14" s="7">
        <f>$B14 * IFERROR(VLOOKUP("LULUCF|SO2|Minor restricted activity days", US_national_yearly!$D:$AM, 18, FALSE) / VLOOKUP("LULUCF|SO2|Minor restricted activity days", US_national_yearly!$D:$AM, 10, FALSE), 1)</f>
        <v>1.1305360462660971E-2</v>
      </c>
      <c r="K14" s="7">
        <f>$B14 * IFERROR(VLOOKUP("LULUCF|SO2|Minor restricted activity days", US_national_yearly!$D:$AM, 19, FALSE) / VLOOKUP("LULUCF|SO2|Minor restricted activity days", US_national_yearly!$D:$AM, 10, FALSE), 1)</f>
        <v>1.1374799380554187E-2</v>
      </c>
      <c r="L14" s="7">
        <f>$B14 * IFERROR(VLOOKUP("LULUCF|SO2|Minor restricted activity days", US_national_yearly!$D:$AM, 20, FALSE) / VLOOKUP("LULUCF|SO2|Minor restricted activity days", US_national_yearly!$D:$AM, 10, FALSE), 1)</f>
        <v>1.1444238298447403E-2</v>
      </c>
      <c r="M14" s="7">
        <f>$B14 * IFERROR(VLOOKUP("LULUCF|SO2|Minor restricted activity days", US_national_yearly!$D:$AM, 21, FALSE) / VLOOKUP("LULUCF|SO2|Minor restricted activity days", US_national_yearly!$D:$AM, 10, FALSE), 1)</f>
        <v>1.1513677216340617E-2</v>
      </c>
      <c r="N14" s="7">
        <f>$B14 * IFERROR(VLOOKUP("LULUCF|SO2|Minor restricted activity days", US_national_yearly!$D:$AM, 22, FALSE) / VLOOKUP("LULUCF|SO2|Minor restricted activity days", US_national_yearly!$D:$AM, 10, FALSE), 1)</f>
        <v>1.1608658513920709E-2</v>
      </c>
      <c r="O14" s="7">
        <f>$B14 * IFERROR(VLOOKUP("LULUCF|SO2|Minor restricted activity days", US_national_yearly!$D:$AM, 23, FALSE) / VLOOKUP("LULUCF|SO2|Minor restricted activity days", US_national_yearly!$D:$AM, 10, FALSE), 1)</f>
        <v>1.1703639811500802E-2</v>
      </c>
      <c r="P14" s="7">
        <f>$B14 * IFERROR(VLOOKUP("LULUCF|SO2|Minor restricted activity days", US_national_yearly!$D:$AM, 24, FALSE) / VLOOKUP("LULUCF|SO2|Minor restricted activity days", US_national_yearly!$D:$AM, 10, FALSE), 1)</f>
        <v>1.1798621109080894E-2</v>
      </c>
      <c r="Q14" s="7">
        <f>$B14 * IFERROR(VLOOKUP("LULUCF|SO2|Minor restricted activity days", US_national_yearly!$D:$AM, 25, FALSE) / VLOOKUP("LULUCF|SO2|Minor restricted activity days", US_national_yearly!$D:$AM, 10, FALSE), 1)</f>
        <v>1.1893602406660986E-2</v>
      </c>
      <c r="R14" s="7">
        <f>$B14 * IFERROR(VLOOKUP("LULUCF|SO2|Minor restricted activity days", US_national_yearly!$D:$AM, 26, FALSE) / VLOOKUP("LULUCF|SO2|Minor restricted activity days", US_national_yearly!$D:$AM, 10, FALSE), 1)</f>
        <v>1.1988583704241077E-2</v>
      </c>
      <c r="S14" s="7">
        <f>$B14 * IFERROR(VLOOKUP("LULUCF|SO2|Minor restricted activity days", US_national_yearly!$D:$AM, 27, FALSE) / VLOOKUP("LULUCF|SO2|Minor restricted activity days", US_national_yearly!$D:$AM, 10, FALSE), 1)</f>
        <v>1.2085426433316367E-2</v>
      </c>
      <c r="T14" s="7">
        <f>$B14 * IFERROR(VLOOKUP("LULUCF|SO2|Minor restricted activity days", US_national_yearly!$D:$AM, 28, FALSE) / VLOOKUP("LULUCF|SO2|Minor restricted activity days", US_national_yearly!$D:$AM, 10, FALSE), 1)</f>
        <v>1.2182269162391655E-2</v>
      </c>
      <c r="U14" s="7">
        <f>$B14 * IFERROR(VLOOKUP("LULUCF|SO2|Minor restricted activity days", US_national_yearly!$D:$AM, 29, FALSE) / VLOOKUP("LULUCF|SO2|Minor restricted activity days", US_national_yearly!$D:$AM, 10, FALSE), 1)</f>
        <v>1.2279111891466942E-2</v>
      </c>
      <c r="V14" s="7">
        <f>$B14 * IFERROR(VLOOKUP("LULUCF|SO2|Minor restricted activity days", US_national_yearly!$D:$AM, 30, FALSE) / VLOOKUP("LULUCF|SO2|Minor restricted activity days", US_national_yearly!$D:$AM, 10, FALSE), 1)</f>
        <v>1.237595462054223E-2</v>
      </c>
      <c r="W14" s="7">
        <f>$B14 * IFERROR(VLOOKUP("LULUCF|SO2|Minor restricted activity days", US_national_yearly!$D:$AM, 31, FALSE) / VLOOKUP("LULUCF|SO2|Minor restricted activity days", US_national_yearly!$D:$AM, 10, FALSE), 1)</f>
        <v>1.2472797349617521E-2</v>
      </c>
      <c r="X14" s="7">
        <f>$B14 * IFERROR(VLOOKUP("LULUCF|SO2|Minor restricted activity days", US_national_yearly!$D:$AM, 32, FALSE) / VLOOKUP("LULUCF|SO2|Minor restricted activity days", US_national_yearly!$D:$AM, 10, FALSE), 1)</f>
        <v>1.2557962812556779E-2</v>
      </c>
      <c r="Y14" s="7">
        <f>$B14 * IFERROR(VLOOKUP("LULUCF|SO2|Minor restricted activity days", US_national_yearly!$D:$AM, 33, FALSE) / VLOOKUP("LULUCF|SO2|Minor restricted activity days", US_national_yearly!$D:$AM, 10, FALSE), 1)</f>
        <v>1.2643128275496037E-2</v>
      </c>
      <c r="Z14" s="7">
        <f>$B14 * IFERROR(VLOOKUP("LULUCF|SO2|Minor restricted activity days", US_national_yearly!$D:$AM, 34, FALSE) / VLOOKUP("LULUCF|SO2|Minor restricted activity days", US_national_yearly!$D:$AM, 10, FALSE), 1)</f>
        <v>1.2728293738435299E-2</v>
      </c>
      <c r="AA14" s="7">
        <f>$B14 * IFERROR(VLOOKUP("LULUCF|SO2|Minor restricted activity days", US_national_yearly!$D:$AM, 35, FALSE) / VLOOKUP("LULUCF|SO2|Minor restricted activity days", US_national_yearly!$D:$AM, 10, FALSE), 1)</f>
        <v>1.2813459201374557E-2</v>
      </c>
      <c r="AB14" s="7">
        <f>$B14 * IFERROR(VLOOKUP("LULUCF|SO2|Minor restricted activity days", US_national_yearly!$D:$AM, 36, FALSE) / VLOOKUP("LULUCF|SO2|Minor restricted activity days", US_national_yearly!$D:$AM, 10, FALSE), 1)</f>
        <v>1.2898624664313817E-2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1.8590180344365552E-3</v>
      </c>
      <c r="C15" s="7">
        <f>$B15 * IFERROR(VLOOKUP("LULUCF|SO2|Work loss days", US_national_yearly!$D:$AM, 11, FALSE) / VLOOKUP("LULUCF|SO2|Work loss days", US_national_yearly!$D:$AM, 10, FALSE), 1)</f>
        <v>1.8650409574033483E-3</v>
      </c>
      <c r="D15" s="7">
        <f>$B15 * IFERROR(VLOOKUP("LULUCF|SO2|Work loss days", US_national_yearly!$D:$AM, 12, FALSE) / VLOOKUP("LULUCF|SO2|Work loss days", US_national_yearly!$D:$AM, 10, FALSE), 1)</f>
        <v>1.8710638803701414E-3</v>
      </c>
      <c r="E15" s="7">
        <f>$B15 * IFERROR(VLOOKUP("LULUCF|SO2|Work loss days", US_national_yearly!$D:$AM, 13, FALSE) / VLOOKUP("LULUCF|SO2|Work loss days", US_national_yearly!$D:$AM, 10, FALSE), 1)</f>
        <v>1.8770868033369345E-3</v>
      </c>
      <c r="F15" s="7">
        <f>$B15 * IFERROR(VLOOKUP("LULUCF|SO2|Work loss days", US_national_yearly!$D:$AM, 14, FALSE) / VLOOKUP("LULUCF|SO2|Work loss days", US_national_yearly!$D:$AM, 10, FALSE), 1)</f>
        <v>1.8831097263037274E-3</v>
      </c>
      <c r="G15" s="7">
        <f>$B15 * IFERROR(VLOOKUP("LULUCF|SO2|Work loss days", US_national_yearly!$D:$AM, 15, FALSE) / VLOOKUP("LULUCF|SO2|Work loss days", US_national_yearly!$D:$AM, 10, FALSE), 1)</f>
        <v>1.8909794121115704E-3</v>
      </c>
      <c r="H15" s="7">
        <f>$B15 * IFERROR(VLOOKUP("LULUCF|SO2|Work loss days", US_national_yearly!$D:$AM, 16, FALSE) / VLOOKUP("LULUCF|SO2|Work loss days", US_national_yearly!$D:$AM, 10, FALSE), 1)</f>
        <v>1.898849097919413E-3</v>
      </c>
      <c r="I15" s="7">
        <f>$B15 * IFERROR(VLOOKUP("LULUCF|SO2|Work loss days", US_national_yearly!$D:$AM, 17, FALSE) / VLOOKUP("LULUCF|SO2|Work loss days", US_national_yearly!$D:$AM, 10, FALSE), 1)</f>
        <v>1.9103613918271829E-3</v>
      </c>
      <c r="J15" s="7">
        <f>$B15 * IFERROR(VLOOKUP("LULUCF|SO2|Work loss days", US_national_yearly!$D:$AM, 18, FALSE) / VLOOKUP("LULUCF|SO2|Work loss days", US_national_yearly!$D:$AM, 10, FALSE), 1)</f>
        <v>1.9218736857349523E-3</v>
      </c>
      <c r="K15" s="7">
        <f>$B15 * IFERROR(VLOOKUP("LULUCF|SO2|Work loss days", US_national_yearly!$D:$AM, 19, FALSE) / VLOOKUP("LULUCF|SO2|Work loss days", US_national_yearly!$D:$AM, 10, FALSE), 1)</f>
        <v>1.9333859796427221E-3</v>
      </c>
      <c r="L15" s="7">
        <f>$B15 * IFERROR(VLOOKUP("LULUCF|SO2|Work loss days", US_national_yearly!$D:$AM, 20, FALSE) / VLOOKUP("LULUCF|SO2|Work loss days", US_national_yearly!$D:$AM, 10, FALSE), 1)</f>
        <v>1.944898273550492E-3</v>
      </c>
      <c r="M15" s="7">
        <f>$B15 * IFERROR(VLOOKUP("LULUCF|SO2|Work loss days", US_national_yearly!$D:$AM, 21, FALSE) / VLOOKUP("LULUCF|SO2|Work loss days", US_national_yearly!$D:$AM, 10, FALSE), 1)</f>
        <v>1.9564105674582618E-3</v>
      </c>
      <c r="N15" s="7">
        <f>$B15 * IFERROR(VLOOKUP("LULUCF|SO2|Work loss days", US_national_yearly!$D:$AM, 22, FALSE) / VLOOKUP("LULUCF|SO2|Work loss days", US_national_yearly!$D:$AM, 10, FALSE), 1)</f>
        <v>1.9708451184447216E-3</v>
      </c>
      <c r="O15" s="7">
        <f>$B15 * IFERROR(VLOOKUP("LULUCF|SO2|Work loss days", US_national_yearly!$D:$AM, 23, FALSE) / VLOOKUP("LULUCF|SO2|Work loss days", US_national_yearly!$D:$AM, 10, FALSE), 1)</f>
        <v>1.9852796694311814E-3</v>
      </c>
      <c r="P15" s="7">
        <f>$B15 * IFERROR(VLOOKUP("LULUCF|SO2|Work loss days", US_national_yearly!$D:$AM, 24, FALSE) / VLOOKUP("LULUCF|SO2|Work loss days", US_national_yearly!$D:$AM, 10, FALSE), 1)</f>
        <v>1.9997142204176404E-3</v>
      </c>
      <c r="Q15" s="7">
        <f>$B15 * IFERROR(VLOOKUP("LULUCF|SO2|Work loss days", US_national_yearly!$D:$AM, 25, FALSE) / VLOOKUP("LULUCF|SO2|Work loss days", US_national_yearly!$D:$AM, 10, FALSE), 1)</f>
        <v>2.0141487714041002E-3</v>
      </c>
      <c r="R15" s="7">
        <f>$B15 * IFERROR(VLOOKUP("LULUCF|SO2|Work loss days", US_national_yearly!$D:$AM, 26, FALSE) / VLOOKUP("LULUCF|SO2|Work loss days", US_national_yearly!$D:$AM, 10, FALSE), 1)</f>
        <v>2.02858332239056E-3</v>
      </c>
      <c r="S15" s="7">
        <f>$B15 * IFERROR(VLOOKUP("LULUCF|SO2|Work loss days", US_national_yearly!$D:$AM, 27, FALSE) / VLOOKUP("LULUCF|SO2|Work loss days", US_national_yearly!$D:$AM, 10, FALSE), 1)</f>
        <v>2.0447138855278217E-3</v>
      </c>
      <c r="T15" s="7">
        <f>$B15 * IFERROR(VLOOKUP("LULUCF|SO2|Work loss days", US_national_yearly!$D:$AM, 28, FALSE) / VLOOKUP("LULUCF|SO2|Work loss days", US_national_yearly!$D:$AM, 10, FALSE), 1)</f>
        <v>2.0608444486650843E-3</v>
      </c>
      <c r="U15" s="7">
        <f>$B15 * IFERROR(VLOOKUP("LULUCF|SO2|Work loss days", US_national_yearly!$D:$AM, 29, FALSE) / VLOOKUP("LULUCF|SO2|Work loss days", US_national_yearly!$D:$AM, 10, FALSE), 1)</f>
        <v>2.076975011802346E-3</v>
      </c>
      <c r="V15" s="7">
        <f>$B15 * IFERROR(VLOOKUP("LULUCF|SO2|Work loss days", US_national_yearly!$D:$AM, 30, FALSE) / VLOOKUP("LULUCF|SO2|Work loss days", US_national_yearly!$D:$AM, 10, FALSE), 1)</f>
        <v>2.0931055749396081E-3</v>
      </c>
      <c r="W15" s="7">
        <f>$B15 * IFERROR(VLOOKUP("LULUCF|SO2|Work loss days", US_national_yearly!$D:$AM, 31, FALSE) / VLOOKUP("LULUCF|SO2|Work loss days", US_national_yearly!$D:$AM, 10, FALSE), 1)</f>
        <v>2.1092361380768703E-3</v>
      </c>
      <c r="X15" s="7">
        <f>$B15 * IFERROR(VLOOKUP("LULUCF|SO2|Work loss days", US_national_yearly!$D:$AM, 32, FALSE) / VLOOKUP("LULUCF|SO2|Work loss days", US_national_yearly!$D:$AM, 10, FALSE), 1)</f>
        <v>2.1237191603919047E-3</v>
      </c>
      <c r="Y15" s="7">
        <f>$B15 * IFERROR(VLOOKUP("LULUCF|SO2|Work loss days", US_national_yearly!$D:$AM, 33, FALSE) / VLOOKUP("LULUCF|SO2|Work loss days", US_national_yearly!$D:$AM, 10, FALSE), 1)</f>
        <v>2.1382021827069391E-3</v>
      </c>
      <c r="Z15" s="7">
        <f>$B15 * IFERROR(VLOOKUP("LULUCF|SO2|Work loss days", US_national_yearly!$D:$AM, 34, FALSE) / VLOOKUP("LULUCF|SO2|Work loss days", US_national_yearly!$D:$AM, 10, FALSE), 1)</f>
        <v>2.1526852050219739E-3</v>
      </c>
      <c r="AA15" s="7">
        <f>$B15 * IFERROR(VLOOKUP("LULUCF|SO2|Work loss days", US_national_yearly!$D:$AM, 35, FALSE) / VLOOKUP("LULUCF|SO2|Work loss days", US_national_yearly!$D:$AM, 10, FALSE), 1)</f>
        <v>2.1671682273370083E-3</v>
      </c>
      <c r="AB15" s="7">
        <f>$B15 * IFERROR(VLOOKUP("LULUCF|SO2|Work loss days", US_national_yearly!$D:$AM, 36, FALSE) / VLOOKUP("LULUCF|SO2|Work loss days", US_national_yearly!$D:$AM, 10, FALSE), 1)</f>
        <v>2.1816512496520431E-3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3.2376076377267617E-6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3.3355252908567939E-6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3.4334429439868256E-6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3.5313605971168578E-6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3.6292782502468908E-6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3.72307405143193E-6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3.8168698526169705E-6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3.8972345501417356E-6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3.9775992476664999E-6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4.057963945191265E-6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4.1383286427160293E-6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4.2186933402407936E-6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4.2726801107213475E-6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4.3266668812018997E-6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4.3806536516824527E-6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4.4346404221630049E-6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4.4886271926435588E-6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4.5170203900546808E-6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4.5454135874658037E-6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4.5738067848769258E-6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4.6021999822880487E-6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4.6305931796991708E-6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4.6496544717286527E-6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4.6687157637581356E-6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4.6877770557876175E-6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4.7068383478171003E-6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4.7258996398465823E-6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2026-06-15T17:17:13Z</dcterms:modified>
</cp:coreProperties>
</file>