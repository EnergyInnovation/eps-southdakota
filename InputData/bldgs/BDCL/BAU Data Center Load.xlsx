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D\bldgs\BDCL\"/>
    </mc:Choice>
  </mc:AlternateContent>
  <xr:revisionPtr revIDLastSave="0" documentId="8_{7E1221D9-AB28-4579-B177-58EA349888EB}"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U167" i="10"/>
  <c r="V167" i="10" s="1"/>
  <c r="W167" i="10" s="1"/>
  <c r="X167" i="10" s="1"/>
  <c r="Y167" i="10" s="1"/>
  <c r="Z167" i="10" s="1"/>
  <c r="AA167" i="10" s="1"/>
  <c r="AB167" i="10" s="1"/>
  <c r="C167" i="10"/>
  <c r="D167" i="10" s="1"/>
  <c r="E167" i="10" s="1"/>
  <c r="F167" i="10" s="1"/>
  <c r="G167" i="10" s="1"/>
  <c r="H167" i="10" s="1"/>
  <c r="I167" i="10" s="1"/>
  <c r="J167" i="10" s="1"/>
  <c r="K167" i="10" s="1"/>
  <c r="L167" i="10" s="1"/>
  <c r="M167" i="10" s="1"/>
  <c r="N167" i="10" s="1"/>
  <c r="O167" i="10" s="1"/>
  <c r="P167" i="10" s="1"/>
  <c r="Q167" i="10" s="1"/>
  <c r="R167" i="10" s="1"/>
  <c r="S167" i="10" s="1"/>
  <c r="T167" i="10" s="1"/>
  <c r="B167" i="10"/>
  <c r="AC166" i="10"/>
  <c r="C166" i="10" s="1"/>
  <c r="D166" i="10"/>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B165" i="10"/>
  <c r="AC160" i="10"/>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AC159" i="10"/>
  <c r="K159" i="10"/>
  <c r="L159" i="10" s="1"/>
  <c r="M159" i="10" s="1"/>
  <c r="N159" i="10" s="1"/>
  <c r="O159" i="10" s="1"/>
  <c r="P159" i="10" s="1"/>
  <c r="Q159" i="10" s="1"/>
  <c r="R159" i="10" s="1"/>
  <c r="S159" i="10" s="1"/>
  <c r="T159" i="10" s="1"/>
  <c r="U159" i="10" s="1"/>
  <c r="V159" i="10" s="1"/>
  <c r="W159" i="10" s="1"/>
  <c r="X159" i="10" s="1"/>
  <c r="Y159" i="10" s="1"/>
  <c r="Z159" i="10" s="1"/>
  <c r="AA159" i="10" s="1"/>
  <c r="AB159" i="10" s="1"/>
  <c r="B159" i="10"/>
  <c r="C159" i="10" s="1"/>
  <c r="D159" i="10" s="1"/>
  <c r="E159" i="10" s="1"/>
  <c r="F159" i="10" s="1"/>
  <c r="G159" i="10" s="1"/>
  <c r="H159" i="10" s="1"/>
  <c r="I159" i="10" s="1"/>
  <c r="J159" i="10" s="1"/>
  <c r="G158" i="10"/>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D158" i="10" s="1"/>
  <c r="E158" i="10" s="1"/>
  <c r="F158" i="10" s="1"/>
  <c r="AC157" i="10"/>
  <c r="D157" i="10"/>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C157" i="10" s="1"/>
  <c r="AC156" i="10"/>
  <c r="J156" i="10"/>
  <c r="K156" i="10" s="1"/>
  <c r="L156" i="10" s="1"/>
  <c r="M156" i="10" s="1"/>
  <c r="N156" i="10" s="1"/>
  <c r="O156" i="10" s="1"/>
  <c r="P156" i="10" s="1"/>
  <c r="Q156" i="10" s="1"/>
  <c r="R156" i="10" s="1"/>
  <c r="S156" i="10" s="1"/>
  <c r="T156" i="10" s="1"/>
  <c r="U156" i="10" s="1"/>
  <c r="V156" i="10" s="1"/>
  <c r="W156" i="10" s="1"/>
  <c r="X156" i="10" s="1"/>
  <c r="Y156" i="10" s="1"/>
  <c r="Z156" i="10" s="1"/>
  <c r="AA156" i="10" s="1"/>
  <c r="AB156" i="10" s="1"/>
  <c r="F156" i="10"/>
  <c r="G156" i="10" s="1"/>
  <c r="H156" i="10" s="1"/>
  <c r="I156" i="10" s="1"/>
  <c r="E156" i="10"/>
  <c r="B156" i="10"/>
  <c r="C156" i="10" s="1"/>
  <c r="D156" i="10" s="1"/>
  <c r="AC155" i="10"/>
  <c r="E155" i="10"/>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D155" i="10"/>
  <c r="B155" i="10"/>
  <c r="C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B153" i="10"/>
  <c r="AC152" i="10"/>
  <c r="C152" i="10"/>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C151" i="10" s="1"/>
  <c r="D151" i="10"/>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V150" i="10"/>
  <c r="W150" i="10" s="1"/>
  <c r="X150" i="10" s="1"/>
  <c r="Y150" i="10" s="1"/>
  <c r="Z150" i="10" s="1"/>
  <c r="AA150" i="10" s="1"/>
  <c r="AB150" i="10" s="1"/>
  <c r="B150" i="10"/>
  <c r="C150" i="10" s="1"/>
  <c r="D150" i="10" s="1"/>
  <c r="E150" i="10" s="1"/>
  <c r="F150" i="10" s="1"/>
  <c r="G150" i="10" s="1"/>
  <c r="H150" i="10" s="1"/>
  <c r="I150" i="10" s="1"/>
  <c r="J150" i="10" s="1"/>
  <c r="K150" i="10" s="1"/>
  <c r="L150" i="10" s="1"/>
  <c r="M150" i="10" s="1"/>
  <c r="N150" i="10" s="1"/>
  <c r="O150" i="10" s="1"/>
  <c r="P150" i="10" s="1"/>
  <c r="Q150" i="10" s="1"/>
  <c r="R150" i="10" s="1"/>
  <c r="S150" i="10" s="1"/>
  <c r="T150" i="10" s="1"/>
  <c r="U150" i="10" s="1"/>
  <c r="AC149" i="10"/>
  <c r="C149" i="10"/>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B149" i="10"/>
  <c r="AC148" i="10"/>
  <c r="D148" i="10"/>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C148" i="10"/>
  <c r="B148" i="10"/>
  <c r="AC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c r="B147" i="10"/>
  <c r="AC146" i="10"/>
  <c r="C146" i="10" s="1"/>
  <c r="D146" i="10" s="1"/>
  <c r="E146" i="10" s="1"/>
  <c r="F146" i="10" s="1"/>
  <c r="G146" i="10"/>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C145" i="10"/>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AC143" i="10"/>
  <c r="C143" i="10" s="1"/>
  <c r="D143" i="10" s="1"/>
  <c r="E143" i="10" s="1"/>
  <c r="F143" i="10" s="1"/>
  <c r="G143" i="10" s="1"/>
  <c r="H143" i="10"/>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B143" i="10"/>
  <c r="AC142" i="10"/>
  <c r="C142" i="10"/>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C141" i="10" s="1"/>
  <c r="D141" i="10" s="1"/>
  <c r="V141" i="10"/>
  <c r="W141" i="10" s="1"/>
  <c r="X141" i="10" s="1"/>
  <c r="Y141" i="10" s="1"/>
  <c r="Z141" i="10" s="1"/>
  <c r="AA141" i="10" s="1"/>
  <c r="AB141" i="10" s="1"/>
  <c r="O141" i="10"/>
  <c r="P141" i="10" s="1"/>
  <c r="Q141" i="10" s="1"/>
  <c r="R141" i="10" s="1"/>
  <c r="S141" i="10" s="1"/>
  <c r="T141" i="10" s="1"/>
  <c r="U141" i="10" s="1"/>
  <c r="G141" i="10"/>
  <c r="H141" i="10" s="1"/>
  <c r="I141" i="10" s="1"/>
  <c r="J141" i="10" s="1"/>
  <c r="K141" i="10" s="1"/>
  <c r="L141" i="10" s="1"/>
  <c r="M141" i="10" s="1"/>
  <c r="N141" i="10" s="1"/>
  <c r="E141" i="10"/>
  <c r="F141" i="10" s="1"/>
  <c r="B141" i="10"/>
  <c r="AC140" i="10"/>
  <c r="J140" i="10"/>
  <c r="K140" i="10" s="1"/>
  <c r="L140" i="10" s="1"/>
  <c r="M140" i="10" s="1"/>
  <c r="N140" i="10" s="1"/>
  <c r="O140" i="10" s="1"/>
  <c r="P140" i="10" s="1"/>
  <c r="Q140" i="10" s="1"/>
  <c r="R140" i="10" s="1"/>
  <c r="S140" i="10" s="1"/>
  <c r="T140" i="10" s="1"/>
  <c r="U140" i="10" s="1"/>
  <c r="V140" i="10" s="1"/>
  <c r="W140" i="10" s="1"/>
  <c r="X140" i="10" s="1"/>
  <c r="Y140" i="10" s="1"/>
  <c r="Z140" i="10" s="1"/>
  <c r="AA140" i="10" s="1"/>
  <c r="AB140" i="10" s="1"/>
  <c r="E140" i="10"/>
  <c r="F140" i="10" s="1"/>
  <c r="G140" i="10" s="1"/>
  <c r="H140" i="10" s="1"/>
  <c r="I140" i="10" s="1"/>
  <c r="D140" i="10"/>
  <c r="C140" i="10"/>
  <c r="B140" i="10"/>
  <c r="AC139" i="10"/>
  <c r="C139" i="10"/>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B139" i="10"/>
  <c r="AC138" i="10"/>
  <c r="E138" i="10"/>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C138" i="10" s="1"/>
  <c r="D138" i="10" s="1"/>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C136" i="10" s="1"/>
  <c r="D136" i="10" s="1"/>
  <c r="E136" i="10" s="1"/>
  <c r="F136" i="10" s="1"/>
  <c r="G136" i="10" s="1"/>
  <c r="H136" i="10" s="1"/>
  <c r="I136" i="10" s="1"/>
  <c r="J136" i="10" s="1"/>
  <c r="K136" i="10" s="1"/>
  <c r="L136" i="10" s="1"/>
  <c r="M136" i="10" s="1"/>
  <c r="N136" i="10"/>
  <c r="O136" i="10" s="1"/>
  <c r="P136" i="10" s="1"/>
  <c r="Q136" i="10" s="1"/>
  <c r="R136" i="10" s="1"/>
  <c r="S136" i="10" s="1"/>
  <c r="T136" i="10" s="1"/>
  <c r="U136" i="10" s="1"/>
  <c r="V136" i="10" s="1"/>
  <c r="W136" i="10" s="1"/>
  <c r="X136" i="10" s="1"/>
  <c r="Y136" i="10" s="1"/>
  <c r="Z136" i="10" s="1"/>
  <c r="AA136" i="10" s="1"/>
  <c r="AB136" i="10" s="1"/>
  <c r="B136" i="10"/>
  <c r="AC135" i="10"/>
  <c r="E135" i="10"/>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C135" i="10"/>
  <c r="D135" i="10" s="1"/>
  <c r="B135" i="10"/>
  <c r="AC134" i="10"/>
  <c r="I134" i="10"/>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G134" i="10"/>
  <c r="H134" i="10" s="1"/>
  <c r="C134" i="10"/>
  <c r="D134" i="10" s="1"/>
  <c r="E134" i="10" s="1"/>
  <c r="F134" i="10" s="1"/>
  <c r="B134" i="10"/>
  <c r="AC133" i="10"/>
  <c r="F133" i="10"/>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C133" i="10"/>
  <c r="D133" i="10" s="1"/>
  <c r="E133" i="10" s="1"/>
  <c r="B133" i="10"/>
  <c r="AC132" i="10"/>
  <c r="C132" i="10" s="1"/>
  <c r="D132" i="10" s="1"/>
  <c r="E132" i="10" s="1"/>
  <c r="F132" i="10" s="1"/>
  <c r="G132" i="10" s="1"/>
  <c r="H132" i="10" s="1"/>
  <c r="I132" i="10"/>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Q131" i="10"/>
  <c r="R131" i="10" s="1"/>
  <c r="S131" i="10" s="1"/>
  <c r="T131" i="10" s="1"/>
  <c r="U131" i="10" s="1"/>
  <c r="V131" i="10" s="1"/>
  <c r="W131" i="10" s="1"/>
  <c r="X131" i="10" s="1"/>
  <c r="Y131" i="10" s="1"/>
  <c r="Z131" i="10" s="1"/>
  <c r="AA131" i="10" s="1"/>
  <c r="AB131" i="10" s="1"/>
  <c r="D131" i="10"/>
  <c r="E131" i="10" s="1"/>
  <c r="F131" i="10" s="1"/>
  <c r="G131" i="10" s="1"/>
  <c r="H131" i="10" s="1"/>
  <c r="I131" i="10" s="1"/>
  <c r="J131" i="10" s="1"/>
  <c r="K131" i="10" s="1"/>
  <c r="L131" i="10" s="1"/>
  <c r="M131" i="10" s="1"/>
  <c r="N131" i="10" s="1"/>
  <c r="O131" i="10" s="1"/>
  <c r="P131" i="10" s="1"/>
  <c r="B131" i="10"/>
  <c r="C131" i="10" s="1"/>
  <c r="AC130" i="10"/>
  <c r="U130" i="10"/>
  <c r="V130" i="10" s="1"/>
  <c r="W130" i="10" s="1"/>
  <c r="X130" i="10" s="1"/>
  <c r="Y130" i="10" s="1"/>
  <c r="Z130" i="10" s="1"/>
  <c r="AA130" i="10" s="1"/>
  <c r="AB130" i="10" s="1"/>
  <c r="T130" i="10"/>
  <c r="R130" i="10"/>
  <c r="S130" i="10" s="1"/>
  <c r="C130" i="10"/>
  <c r="D130" i="10" s="1"/>
  <c r="E130" i="10" s="1"/>
  <c r="F130" i="10" s="1"/>
  <c r="G130" i="10" s="1"/>
  <c r="H130" i="10" s="1"/>
  <c r="I130" i="10" s="1"/>
  <c r="J130" i="10" s="1"/>
  <c r="K130" i="10" s="1"/>
  <c r="L130" i="10" s="1"/>
  <c r="M130" i="10" s="1"/>
  <c r="N130" i="10" s="1"/>
  <c r="O130" i="10" s="1"/>
  <c r="P130" i="10" s="1"/>
  <c r="Q130" i="10" s="1"/>
  <c r="B130" i="10"/>
  <c r="AC129" i="10"/>
  <c r="B129" i="10"/>
  <c r="C129" i="10" s="1"/>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AC128" i="10"/>
  <c r="W128" i="10"/>
  <c r="X128" i="10" s="1"/>
  <c r="Y128" i="10" s="1"/>
  <c r="Z128" i="10" s="1"/>
  <c r="AA128" i="10" s="1"/>
  <c r="AB128" i="10" s="1"/>
  <c r="D128" i="10"/>
  <c r="E128" i="10" s="1"/>
  <c r="F128" i="10" s="1"/>
  <c r="G128" i="10" s="1"/>
  <c r="H128" i="10" s="1"/>
  <c r="I128" i="10" s="1"/>
  <c r="J128" i="10" s="1"/>
  <c r="K128" i="10" s="1"/>
  <c r="L128" i="10" s="1"/>
  <c r="M128" i="10" s="1"/>
  <c r="N128" i="10" s="1"/>
  <c r="O128" i="10" s="1"/>
  <c r="P128" i="10" s="1"/>
  <c r="Q128" i="10" s="1"/>
  <c r="R128" i="10" s="1"/>
  <c r="S128" i="10" s="1"/>
  <c r="T128" i="10" s="1"/>
  <c r="U128" i="10" s="1"/>
  <c r="V128" i="10" s="1"/>
  <c r="C128" i="10"/>
  <c r="B128" i="10"/>
  <c r="AC127" i="10"/>
  <c r="C127" i="10" s="1"/>
  <c r="D127" i="10"/>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AC126" i="10"/>
  <c r="C126" i="10" s="1"/>
  <c r="F126" i="10"/>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E126" i="10"/>
  <c r="D126" i="10"/>
  <c r="B126" i="10"/>
  <c r="AC125" i="10"/>
  <c r="C125" i="10" s="1"/>
  <c r="D125" i="10" s="1"/>
  <c r="E125" i="10" s="1"/>
  <c r="F125" i="10" s="1"/>
  <c r="G125" i="10" s="1"/>
  <c r="H125" i="10" s="1"/>
  <c r="I125" i="10" s="1"/>
  <c r="J125" i="10" s="1"/>
  <c r="K125" i="10" s="1"/>
  <c r="L125" i="10" s="1"/>
  <c r="M125" i="10"/>
  <c r="N125" i="10" s="1"/>
  <c r="O125" i="10" s="1"/>
  <c r="P125" i="10" s="1"/>
  <c r="Q125" i="10" s="1"/>
  <c r="R125" i="10" s="1"/>
  <c r="S125" i="10" s="1"/>
  <c r="T125" i="10" s="1"/>
  <c r="U125" i="10" s="1"/>
  <c r="V125" i="10" s="1"/>
  <c r="W125" i="10" s="1"/>
  <c r="X125" i="10" s="1"/>
  <c r="Y125" i="10" s="1"/>
  <c r="Z125" i="10" s="1"/>
  <c r="AA125" i="10" s="1"/>
  <c r="AB125" i="10" s="1"/>
  <c r="B125" i="10"/>
  <c r="AC124" i="10"/>
  <c r="O124" i="10"/>
  <c r="P124" i="10" s="1"/>
  <c r="Q124" i="10" s="1"/>
  <c r="R124" i="10" s="1"/>
  <c r="S124" i="10" s="1"/>
  <c r="T124" i="10" s="1"/>
  <c r="U124" i="10" s="1"/>
  <c r="V124" i="10" s="1"/>
  <c r="W124" i="10" s="1"/>
  <c r="X124" i="10" s="1"/>
  <c r="Y124" i="10" s="1"/>
  <c r="Z124" i="10" s="1"/>
  <c r="AA124" i="10" s="1"/>
  <c r="AB124" i="10" s="1"/>
  <c r="N124" i="10"/>
  <c r="E124" i="10"/>
  <c r="F124" i="10" s="1"/>
  <c r="G124" i="10" s="1"/>
  <c r="H124" i="10" s="1"/>
  <c r="I124" i="10" s="1"/>
  <c r="J124" i="10" s="1"/>
  <c r="K124" i="10" s="1"/>
  <c r="L124" i="10" s="1"/>
  <c r="M124" i="10" s="1"/>
  <c r="B124" i="10"/>
  <c r="C124" i="10" s="1"/>
  <c r="D124" i="10" s="1"/>
  <c r="AC123" i="10"/>
  <c r="D123" i="10"/>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C123" i="10"/>
  <c r="B123" i="10"/>
  <c r="AC122" i="10"/>
  <c r="E122" i="10"/>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C122" i="10"/>
  <c r="D122" i="10" s="1"/>
  <c r="B122" i="10"/>
  <c r="AC121" i="10"/>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AC120" i="10"/>
  <c r="D120" i="10"/>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120" i="10"/>
  <c r="B120" i="10"/>
  <c r="AC119" i="10"/>
  <c r="E119" i="10"/>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C119" i="10" s="1"/>
  <c r="D119" i="10" s="1"/>
  <c r="AC118" i="10"/>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B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AC114" i="10"/>
  <c r="C114" i="10" s="1"/>
  <c r="D114" i="10"/>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AC113" i="10"/>
  <c r="B113" i="10"/>
  <c r="AC108" i="10"/>
  <c r="C108" i="10" s="1"/>
  <c r="AB108" i="10"/>
  <c r="K108" i="10"/>
  <c r="L108" i="10" s="1"/>
  <c r="M108" i="10" s="1"/>
  <c r="N108" i="10" s="1"/>
  <c r="O108" i="10" s="1"/>
  <c r="P108" i="10" s="1"/>
  <c r="Q108" i="10" s="1"/>
  <c r="R108" i="10" s="1"/>
  <c r="S108" i="10" s="1"/>
  <c r="T108" i="10" s="1"/>
  <c r="U108" i="10" s="1"/>
  <c r="V108" i="10" s="1"/>
  <c r="W108" i="10" s="1"/>
  <c r="X108" i="10" s="1"/>
  <c r="Y108" i="10" s="1"/>
  <c r="Z108" i="10" s="1"/>
  <c r="AA108" i="10" s="1"/>
  <c r="D108" i="10"/>
  <c r="E108" i="10" s="1"/>
  <c r="F108" i="10" s="1"/>
  <c r="G108" i="10" s="1"/>
  <c r="H108" i="10" s="1"/>
  <c r="I108" i="10" s="1"/>
  <c r="J108" i="10" s="1"/>
  <c r="B108" i="10"/>
  <c r="AC107" i="10"/>
  <c r="B107" i="10"/>
  <c r="C106" i="10"/>
  <c r="D106" i="10" s="1"/>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AC105" i="10"/>
  <c r="F105" i="10"/>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D105" i="10"/>
  <c r="E105" i="10" s="1"/>
  <c r="C105" i="10"/>
  <c r="B105" i="10"/>
  <c r="AC104" i="10"/>
  <c r="B104" i="10"/>
  <c r="AC103" i="10"/>
  <c r="B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AC102" i="10"/>
  <c r="B102" i="10"/>
  <c r="AC101" i="10"/>
  <c r="J101" i="10"/>
  <c r="K101" i="10" s="1"/>
  <c r="L101" i="10" s="1"/>
  <c r="M101" i="10" s="1"/>
  <c r="N101" i="10" s="1"/>
  <c r="O101" i="10" s="1"/>
  <c r="P101" i="10" s="1"/>
  <c r="Q101" i="10" s="1"/>
  <c r="R101" i="10" s="1"/>
  <c r="S101" i="10" s="1"/>
  <c r="T101" i="10" s="1"/>
  <c r="U101" i="10" s="1"/>
  <c r="V101" i="10" s="1"/>
  <c r="W101" i="10" s="1"/>
  <c r="X101" i="10" s="1"/>
  <c r="Y101" i="10" s="1"/>
  <c r="Z101" i="10" s="1"/>
  <c r="AA101" i="10" s="1"/>
  <c r="AB101" i="10" s="1"/>
  <c r="I101" i="10"/>
  <c r="D101" i="10"/>
  <c r="E101" i="10" s="1"/>
  <c r="F101" i="10" s="1"/>
  <c r="G101" i="10" s="1"/>
  <c r="H101" i="10" s="1"/>
  <c r="B101" i="10"/>
  <c r="C101" i="10" s="1"/>
  <c r="AC100" i="10"/>
  <c r="D100" i="10"/>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C100" i="10" s="1"/>
  <c r="AC99" i="10"/>
  <c r="C99" i="10"/>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AC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AC97" i="10"/>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AC96" i="10"/>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AC95" i="10"/>
  <c r="F95" i="10"/>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E95" i="10"/>
  <c r="B95" i="10"/>
  <c r="C95" i="10" s="1"/>
  <c r="D95" i="10" s="1"/>
  <c r="AC94" i="10"/>
  <c r="B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AC93" i="10"/>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AC92" i="10"/>
  <c r="C92" i="10" s="1"/>
  <c r="D92" i="10" s="1"/>
  <c r="E92" i="10" s="1"/>
  <c r="F92" i="10" s="1"/>
  <c r="G92" i="10" s="1"/>
  <c r="H92" i="10" s="1"/>
  <c r="I92" i="10" s="1"/>
  <c r="J92" i="10" s="1"/>
  <c r="K92" i="10" s="1"/>
  <c r="L92" i="10" s="1"/>
  <c r="M92" i="10" s="1"/>
  <c r="N92" i="10" s="1"/>
  <c r="O92" i="10"/>
  <c r="P92" i="10" s="1"/>
  <c r="Q92" i="10" s="1"/>
  <c r="R92" i="10" s="1"/>
  <c r="S92" i="10" s="1"/>
  <c r="T92" i="10" s="1"/>
  <c r="U92" i="10" s="1"/>
  <c r="V92" i="10" s="1"/>
  <c r="W92" i="10" s="1"/>
  <c r="X92" i="10" s="1"/>
  <c r="Y92" i="10" s="1"/>
  <c r="Z92" i="10" s="1"/>
  <c r="AA92" i="10" s="1"/>
  <c r="AB92" i="10" s="1"/>
  <c r="B92" i="10"/>
  <c r="AC91" i="10"/>
  <c r="E91" i="10"/>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B91" i="10"/>
  <c r="C91" i="10" s="1"/>
  <c r="D91" i="10" s="1"/>
  <c r="AC90" i="10"/>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89" i="10"/>
  <c r="C89" i="10"/>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C87" i="10" s="1"/>
  <c r="D87" i="10" s="1"/>
  <c r="E87" i="10"/>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B87" i="10"/>
  <c r="AC86" i="10"/>
  <c r="B86" i="10"/>
  <c r="AC85" i="10"/>
  <c r="B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B83" i="10"/>
  <c r="AC82" i="10"/>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AC81" i="10"/>
  <c r="B81" i="10"/>
  <c r="AC80" i="10"/>
  <c r="C80" i="10"/>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AC79" i="10"/>
  <c r="B79" i="10"/>
  <c r="AC78" i="10"/>
  <c r="C78" i="10" s="1"/>
  <c r="D78" i="10" s="1"/>
  <c r="F78" i="10"/>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E78" i="10"/>
  <c r="B78" i="10"/>
  <c r="AC77" i="10"/>
  <c r="B77" i="10"/>
  <c r="AC76" i="10"/>
  <c r="K76" i="10"/>
  <c r="L76" i="10" s="1"/>
  <c r="M76" i="10" s="1"/>
  <c r="N76" i="10" s="1"/>
  <c r="O76" i="10" s="1"/>
  <c r="P76" i="10" s="1"/>
  <c r="Q76" i="10" s="1"/>
  <c r="R76" i="10" s="1"/>
  <c r="S76" i="10" s="1"/>
  <c r="T76" i="10" s="1"/>
  <c r="U76" i="10" s="1"/>
  <c r="V76" i="10" s="1"/>
  <c r="W76" i="10" s="1"/>
  <c r="X76" i="10" s="1"/>
  <c r="Y76" i="10" s="1"/>
  <c r="Z76" i="10" s="1"/>
  <c r="AA76" i="10" s="1"/>
  <c r="AB76" i="10" s="1"/>
  <c r="D76" i="10"/>
  <c r="E76" i="10" s="1"/>
  <c r="F76" i="10" s="1"/>
  <c r="G76" i="10" s="1"/>
  <c r="H76" i="10" s="1"/>
  <c r="I76" i="10" s="1"/>
  <c r="J76" i="10" s="1"/>
  <c r="C76" i="10"/>
  <c r="B76" i="10"/>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C74" i="10" s="1"/>
  <c r="D74" i="10" s="1"/>
  <c r="E74" i="10" s="1"/>
  <c r="F74" i="10" s="1"/>
  <c r="G74" i="10" s="1"/>
  <c r="H74" i="10" s="1"/>
  <c r="I74" i="10" s="1"/>
  <c r="J74" i="10" s="1"/>
  <c r="K74" i="10" s="1"/>
  <c r="L74" i="10" s="1"/>
  <c r="M74" i="10" s="1"/>
  <c r="N74" i="10" s="1"/>
  <c r="O74" i="10" s="1"/>
  <c r="P74" i="10" s="1"/>
  <c r="Q74" i="10" s="1"/>
  <c r="R74" i="10" s="1"/>
  <c r="S74" i="10" s="1"/>
  <c r="T74" i="10"/>
  <c r="U74" i="10" s="1"/>
  <c r="V74" i="10" s="1"/>
  <c r="W74" i="10" s="1"/>
  <c r="X74" i="10" s="1"/>
  <c r="Y74" i="10" s="1"/>
  <c r="Z74" i="10" s="1"/>
  <c r="AA74" i="10" s="1"/>
  <c r="AB74" i="10" s="1"/>
  <c r="B74" i="10"/>
  <c r="AC73" i="10"/>
  <c r="B73" i="10"/>
  <c r="AC72" i="10"/>
  <c r="K72" i="10"/>
  <c r="L72" i="10" s="1"/>
  <c r="M72" i="10" s="1"/>
  <c r="N72" i="10" s="1"/>
  <c r="O72" i="10" s="1"/>
  <c r="P72" i="10" s="1"/>
  <c r="Q72" i="10" s="1"/>
  <c r="R72" i="10" s="1"/>
  <c r="S72" i="10" s="1"/>
  <c r="T72" i="10" s="1"/>
  <c r="U72" i="10" s="1"/>
  <c r="V72" i="10" s="1"/>
  <c r="W72" i="10" s="1"/>
  <c r="X72" i="10" s="1"/>
  <c r="Y72" i="10" s="1"/>
  <c r="Z72" i="10" s="1"/>
  <c r="AA72" i="10" s="1"/>
  <c r="AB72" i="10" s="1"/>
  <c r="C72" i="10"/>
  <c r="D72" i="10" s="1"/>
  <c r="E72" i="10" s="1"/>
  <c r="F72" i="10" s="1"/>
  <c r="G72" i="10" s="1"/>
  <c r="H72" i="10" s="1"/>
  <c r="I72" i="10" s="1"/>
  <c r="J72" i="10" s="1"/>
  <c r="B72" i="10"/>
  <c r="AC71" i="10"/>
  <c r="G71" i="10"/>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C71" i="10"/>
  <c r="D71" i="10" s="1"/>
  <c r="E71" i="10" s="1"/>
  <c r="F71" i="10" s="1"/>
  <c r="B71" i="10"/>
  <c r="AC70" i="10"/>
  <c r="D70" i="10"/>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C70" i="10"/>
  <c r="B70" i="10"/>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C68" i="10" s="1"/>
  <c r="D68" i="10" s="1"/>
  <c r="E68" i="10" s="1"/>
  <c r="F68" i="10" s="1"/>
  <c r="G68" i="10" s="1"/>
  <c r="H68" i="10" s="1"/>
  <c r="I68" i="10" s="1"/>
  <c r="J68" i="10"/>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B67" i="10"/>
  <c r="AC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B65" i="10"/>
  <c r="C65" i="10" s="1"/>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AC64" i="10"/>
  <c r="G64" i="10"/>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F64" i="10"/>
  <c r="C64" i="10"/>
  <c r="D64" i="10" s="1"/>
  <c r="E64" i="10" s="1"/>
  <c r="B64" i="10"/>
  <c r="AC63" i="10"/>
  <c r="C63" i="10"/>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AC62" i="10"/>
  <c r="E62" i="10"/>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D62" i="10"/>
  <c r="C62" i="10"/>
  <c r="B62" i="10"/>
  <c r="AC61" i="10"/>
  <c r="D61" i="10"/>
  <c r="C61" i="10"/>
  <c r="B61" i="10"/>
  <c r="AC56" i="10"/>
  <c r="C56" i="10" s="1"/>
  <c r="D56" i="10"/>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AC55" i="10"/>
  <c r="D55" i="10"/>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55" i="10"/>
  <c r="B55" i="10"/>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AC52" i="10"/>
  <c r="C52" i="10" s="1"/>
  <c r="D52" i="10" s="1"/>
  <c r="E52" i="10"/>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E51" i="10"/>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B51" i="10"/>
  <c r="C51" i="10" s="1"/>
  <c r="D51" i="10" s="1"/>
  <c r="AC50" i="10"/>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AC49" i="10"/>
  <c r="K49" i="10"/>
  <c r="L49" i="10" s="1"/>
  <c r="M49" i="10" s="1"/>
  <c r="N49" i="10" s="1"/>
  <c r="O49" i="10" s="1"/>
  <c r="P49" i="10" s="1"/>
  <c r="Q49" i="10" s="1"/>
  <c r="R49" i="10" s="1"/>
  <c r="S49" i="10" s="1"/>
  <c r="T49" i="10" s="1"/>
  <c r="U49" i="10" s="1"/>
  <c r="V49" i="10" s="1"/>
  <c r="W49" i="10" s="1"/>
  <c r="X49" i="10" s="1"/>
  <c r="Y49" i="10" s="1"/>
  <c r="Z49" i="10" s="1"/>
  <c r="AA49" i="10" s="1"/>
  <c r="AB49" i="10" s="1"/>
  <c r="B49" i="10"/>
  <c r="C49" i="10" s="1"/>
  <c r="D49" i="10" s="1"/>
  <c r="E49" i="10" s="1"/>
  <c r="F49" i="10" s="1"/>
  <c r="G49" i="10" s="1"/>
  <c r="H49" i="10" s="1"/>
  <c r="I49" i="10" s="1"/>
  <c r="J49" i="10" s="1"/>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H47" i="10"/>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B47" i="10"/>
  <c r="C47" i="10" s="1"/>
  <c r="D47" i="10" s="1"/>
  <c r="E47" i="10" s="1"/>
  <c r="F47" i="10" s="1"/>
  <c r="G47" i="10" s="1"/>
  <c r="AC46" i="10"/>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B45" i="10"/>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B41" i="10"/>
  <c r="AC40" i="10"/>
  <c r="B40" i="10"/>
  <c r="AC39" i="10"/>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E39" i="10"/>
  <c r="D39" i="10"/>
  <c r="C39" i="10"/>
  <c r="B39" i="10"/>
  <c r="AC38" i="10"/>
  <c r="H38" i="10"/>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D38" i="10"/>
  <c r="E38" i="10" s="1"/>
  <c r="F38" i="10" s="1"/>
  <c r="G38" i="10" s="1"/>
  <c r="C38" i="10"/>
  <c r="B38" i="10"/>
  <c r="AC37" i="10"/>
  <c r="C37" i="10" s="1"/>
  <c r="D37" i="10" s="1"/>
  <c r="E37" i="10" s="1"/>
  <c r="F37" i="10" s="1"/>
  <c r="G37" i="10" s="1"/>
  <c r="H37" i="10" s="1"/>
  <c r="I37" i="10" s="1"/>
  <c r="J37" i="10" s="1"/>
  <c r="K37" i="10" s="1"/>
  <c r="L37" i="10" s="1"/>
  <c r="M37" i="10" s="1"/>
  <c r="N37" i="10" s="1"/>
  <c r="O37" i="10"/>
  <c r="P37" i="10" s="1"/>
  <c r="Q37" i="10" s="1"/>
  <c r="R37" i="10" s="1"/>
  <c r="S37" i="10" s="1"/>
  <c r="T37" i="10" s="1"/>
  <c r="U37" i="10" s="1"/>
  <c r="V37" i="10" s="1"/>
  <c r="W37" i="10" s="1"/>
  <c r="X37" i="10" s="1"/>
  <c r="Y37" i="10" s="1"/>
  <c r="Z37" i="10" s="1"/>
  <c r="AA37" i="10" s="1"/>
  <c r="AB37" i="10" s="1"/>
  <c r="B37" i="10"/>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C35" i="10"/>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B35" i="10"/>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B33" i="10"/>
  <c r="AC32" i="10"/>
  <c r="B32" i="10"/>
  <c r="AC31" i="10"/>
  <c r="C31" i="10"/>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B22" i="10"/>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C20" i="10" s="1"/>
  <c r="D20" i="10" s="1"/>
  <c r="E20" i="10"/>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B16" i="10"/>
  <c r="AC15" i="10"/>
  <c r="H15" i="10"/>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C15" i="10" s="1"/>
  <c r="D15" i="10" s="1"/>
  <c r="E15" i="10" s="1"/>
  <c r="F15" i="10" s="1"/>
  <c r="G15" i="10" s="1"/>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B13" i="10"/>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C10" i="10"/>
  <c r="B10" i="10"/>
  <c r="AC9" i="10"/>
  <c r="C9" i="10"/>
  <c r="D9" i="10" s="1"/>
  <c r="B9" i="10"/>
  <c r="B4" i="10"/>
  <c r="C9" i="9"/>
  <c r="B9" i="9"/>
  <c r="G9" i="9" s="1"/>
  <c r="A9" i="9"/>
  <c r="B1" i="9"/>
  <c r="H54" i="7"/>
  <c r="G54" i="7"/>
  <c r="F54" i="7"/>
  <c r="E54" i="7"/>
  <c r="D54" i="7"/>
  <c r="C54" i="7"/>
  <c r="H53" i="7"/>
  <c r="G53" i="7"/>
  <c r="F53" i="7"/>
  <c r="E53" i="7"/>
  <c r="D53" i="7"/>
  <c r="C53" i="7"/>
  <c r="H52" i="7"/>
  <c r="F52" i="7"/>
  <c r="E52" i="7"/>
  <c r="D52" i="7"/>
  <c r="C52" i="7"/>
  <c r="F51" i="7"/>
  <c r="G51" i="7" s="1"/>
  <c r="E51" i="7"/>
  <c r="D51" i="7"/>
  <c r="C51" i="7"/>
  <c r="F50" i="7"/>
  <c r="E50" i="7"/>
  <c r="D50" i="7"/>
  <c r="C50" i="7"/>
  <c r="H49" i="7"/>
  <c r="F49" i="7"/>
  <c r="G49" i="7" s="1"/>
  <c r="E49" i="7"/>
  <c r="D49" i="7"/>
  <c r="C49" i="7"/>
  <c r="F48" i="7"/>
  <c r="E48" i="7"/>
  <c r="D48" i="7"/>
  <c r="C48" i="7"/>
  <c r="F47" i="7"/>
  <c r="E47" i="7"/>
  <c r="H47" i="7" s="1"/>
  <c r="D47" i="7"/>
  <c r="C47" i="7"/>
  <c r="F46" i="7"/>
  <c r="E46" i="7"/>
  <c r="D46" i="7"/>
  <c r="C46" i="7"/>
  <c r="G46" i="7" s="1"/>
  <c r="H45" i="7"/>
  <c r="F45" i="7"/>
  <c r="G45" i="7" s="1"/>
  <c r="E45" i="7"/>
  <c r="D45" i="7"/>
  <c r="C45" i="7"/>
  <c r="F44" i="7"/>
  <c r="E44" i="7"/>
  <c r="D44" i="7"/>
  <c r="G44" i="7" s="1"/>
  <c r="C44" i="7"/>
  <c r="H43" i="7"/>
  <c r="G43" i="7"/>
  <c r="F43" i="7"/>
  <c r="E43" i="7"/>
  <c r="D43" i="7"/>
  <c r="C43" i="7"/>
  <c r="H42" i="7"/>
  <c r="G42" i="7"/>
  <c r="F42" i="7"/>
  <c r="E42" i="7"/>
  <c r="D42" i="7"/>
  <c r="C42" i="7"/>
  <c r="H41" i="7"/>
  <c r="G41" i="7"/>
  <c r="F41" i="7"/>
  <c r="E41" i="7"/>
  <c r="D41" i="7"/>
  <c r="C41" i="7"/>
  <c r="F40" i="7"/>
  <c r="E40" i="7"/>
  <c r="D40" i="7"/>
  <c r="C40" i="7"/>
  <c r="F39" i="7"/>
  <c r="E39" i="7"/>
  <c r="D39" i="7"/>
  <c r="C39" i="7"/>
  <c r="F38" i="7"/>
  <c r="E38" i="7"/>
  <c r="D38" i="7"/>
  <c r="G38" i="7" s="1"/>
  <c r="C38" i="7"/>
  <c r="F37" i="7"/>
  <c r="H37" i="7" s="1"/>
  <c r="E37" i="7"/>
  <c r="D37" i="7"/>
  <c r="C37" i="7"/>
  <c r="F36" i="7"/>
  <c r="E36" i="7"/>
  <c r="H36" i="7" s="1"/>
  <c r="D36" i="7"/>
  <c r="C36" i="7"/>
  <c r="F35" i="7"/>
  <c r="E35" i="7"/>
  <c r="D35" i="7"/>
  <c r="C35" i="7"/>
  <c r="G35" i="7" s="1"/>
  <c r="F34" i="7"/>
  <c r="E34" i="7"/>
  <c r="D34" i="7"/>
  <c r="G34" i="7" s="1"/>
  <c r="C34" i="7"/>
  <c r="H33" i="7"/>
  <c r="F33" i="7"/>
  <c r="E33" i="7"/>
  <c r="D33" i="7"/>
  <c r="C33" i="7"/>
  <c r="H32" i="7"/>
  <c r="G32" i="7"/>
  <c r="F32" i="7"/>
  <c r="E32" i="7"/>
  <c r="D32" i="7"/>
  <c r="C32" i="7"/>
  <c r="F31" i="7"/>
  <c r="E31" i="7"/>
  <c r="D31" i="7"/>
  <c r="H31" i="7" s="1"/>
  <c r="C31" i="7"/>
  <c r="F30" i="7"/>
  <c r="E30" i="7"/>
  <c r="D30" i="7"/>
  <c r="H30" i="7" s="1"/>
  <c r="C30" i="7"/>
  <c r="H29" i="7"/>
  <c r="G29" i="7"/>
  <c r="F29" i="7"/>
  <c r="E29" i="7"/>
  <c r="D29" i="7"/>
  <c r="C29" i="7"/>
  <c r="H28" i="7"/>
  <c r="F28" i="7"/>
  <c r="E28" i="7"/>
  <c r="D28" i="7"/>
  <c r="C28" i="7"/>
  <c r="F27" i="7"/>
  <c r="E27" i="7"/>
  <c r="D27" i="7"/>
  <c r="G27" i="7" s="1"/>
  <c r="C27" i="7"/>
  <c r="F26" i="7"/>
  <c r="E26" i="7"/>
  <c r="D26" i="7"/>
  <c r="G26" i="7" s="1"/>
  <c r="C26" i="7"/>
  <c r="F25" i="7"/>
  <c r="G25" i="7" s="1"/>
  <c r="E25" i="7"/>
  <c r="D25" i="7"/>
  <c r="C25" i="7"/>
  <c r="F24" i="7"/>
  <c r="E24" i="7"/>
  <c r="D24" i="7"/>
  <c r="C24" i="7"/>
  <c r="G24" i="7" s="1"/>
  <c r="F23" i="7"/>
  <c r="E23" i="7"/>
  <c r="D23" i="7"/>
  <c r="G23" i="7" s="1"/>
  <c r="C23" i="7"/>
  <c r="F22" i="7"/>
  <c r="E22" i="7"/>
  <c r="D22" i="7"/>
  <c r="G22" i="7" s="1"/>
  <c r="C22" i="7"/>
  <c r="H21" i="7"/>
  <c r="G21" i="7"/>
  <c r="F21" i="7"/>
  <c r="E21" i="7"/>
  <c r="D21" i="7"/>
  <c r="C21" i="7"/>
  <c r="F20" i="7"/>
  <c r="E20" i="7"/>
  <c r="D20" i="7"/>
  <c r="C20" i="7"/>
  <c r="F19" i="7"/>
  <c r="E19" i="7"/>
  <c r="D19" i="7"/>
  <c r="H19" i="7" s="1"/>
  <c r="C19" i="7"/>
  <c r="F18" i="7"/>
  <c r="E18" i="7"/>
  <c r="D18" i="7"/>
  <c r="C18" i="7"/>
  <c r="H18" i="7" s="1"/>
  <c r="F17" i="7"/>
  <c r="E17" i="7"/>
  <c r="D17" i="7"/>
  <c r="C17" i="7"/>
  <c r="F16" i="7"/>
  <c r="E16" i="7"/>
  <c r="D16" i="7"/>
  <c r="C16" i="7"/>
  <c r="F15" i="7"/>
  <c r="E15" i="7"/>
  <c r="D15" i="7"/>
  <c r="H15" i="7" s="1"/>
  <c r="C15" i="7"/>
  <c r="F14" i="7"/>
  <c r="E14" i="7"/>
  <c r="H14" i="7" s="1"/>
  <c r="D14" i="7"/>
  <c r="C14" i="7"/>
  <c r="H13" i="7"/>
  <c r="F13" i="7"/>
  <c r="E13" i="7"/>
  <c r="D13" i="7"/>
  <c r="C13" i="7"/>
  <c r="F12" i="7"/>
  <c r="E12" i="7"/>
  <c r="D12" i="7"/>
  <c r="H12" i="7" s="1"/>
  <c r="C12" i="7"/>
  <c r="F11" i="7"/>
  <c r="G11" i="7" s="1"/>
  <c r="E11" i="7"/>
  <c r="H11" i="7" s="1"/>
  <c r="D11" i="7"/>
  <c r="C11" i="7"/>
  <c r="H10" i="7"/>
  <c r="G10" i="7"/>
  <c r="F10" i="7"/>
  <c r="E10" i="7"/>
  <c r="D10" i="7"/>
  <c r="C10" i="7"/>
  <c r="H9" i="7"/>
  <c r="G9" i="7"/>
  <c r="F9" i="7"/>
  <c r="E9" i="7"/>
  <c r="D9" i="7"/>
  <c r="C9" i="7"/>
  <c r="F8" i="7"/>
  <c r="E8" i="7"/>
  <c r="D8" i="7"/>
  <c r="C8" i="7"/>
  <c r="F7" i="7"/>
  <c r="G7" i="7" s="1"/>
  <c r="E7" i="7"/>
  <c r="D7" i="7"/>
  <c r="C7" i="7"/>
  <c r="H7" i="7" s="1"/>
  <c r="B2" i="1"/>
  <c r="B5" i="10" s="1"/>
  <c r="B2" i="9" l="1"/>
  <c r="G47" i="7"/>
  <c r="H34" i="7"/>
  <c r="H51" i="7"/>
  <c r="G18" i="7"/>
  <c r="G14" i="7"/>
  <c r="G31" i="7"/>
  <c r="D9" i="9"/>
  <c r="G19" i="7"/>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H38" i="7"/>
  <c r="H39" i="7"/>
  <c r="G39" i="7"/>
  <c r="H26" i="7"/>
  <c r="H22" i="7"/>
  <c r="G52" i="7"/>
  <c r="G30" i="7"/>
  <c r="E61" i="10"/>
  <c r="D109" i="10"/>
  <c r="H48" i="7"/>
  <c r="H35" i="7"/>
  <c r="I9" i="9"/>
  <c r="H9" i="9"/>
  <c r="H20" i="7"/>
  <c r="H23" i="7"/>
  <c r="G15" i="7"/>
  <c r="H46" i="7"/>
  <c r="G33" i="7"/>
  <c r="B57" i="10"/>
  <c r="H50" i="7"/>
  <c r="G50" i="7"/>
  <c r="C53" i="10"/>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H25" i="7"/>
  <c r="H27" i="7"/>
  <c r="H40" i="7"/>
  <c r="G40" i="7"/>
  <c r="H8" i="7"/>
  <c r="G8" i="7"/>
  <c r="G37" i="7"/>
  <c r="R5" i="9"/>
  <c r="Q5" i="9"/>
  <c r="U5" i="9"/>
  <c r="T5" i="9"/>
  <c r="S5" i="9"/>
  <c r="P5" i="9"/>
  <c r="M5" i="9"/>
  <c r="X5" i="9"/>
  <c r="L5" i="9"/>
  <c r="K5" i="9"/>
  <c r="J5" i="9"/>
  <c r="I5" i="9"/>
  <c r="H5" i="9"/>
  <c r="G5" i="9"/>
  <c r="F5" i="9"/>
  <c r="E5" i="9"/>
  <c r="V5" i="9"/>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161" i="10"/>
  <c r="C113" i="10"/>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G20" i="7"/>
  <c r="G48" i="7"/>
  <c r="B109" i="10"/>
  <c r="H16" i="7"/>
  <c r="D10" i="10"/>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G36" i="7"/>
  <c r="G28" i="7"/>
  <c r="G12" i="7"/>
  <c r="E9" i="10"/>
  <c r="H44" i="7"/>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H24" i="7"/>
  <c r="G16" i="7"/>
  <c r="G13" i="7"/>
  <c r="H17" i="7"/>
  <c r="G17" i="7"/>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C73" i="10"/>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C79" i="10"/>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C118" i="10"/>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86" i="10"/>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C102" i="10"/>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B5" i="9" l="1"/>
  <c r="B171" i="10" s="1"/>
  <c r="B2" i="11" s="1"/>
  <c r="AB5" i="9"/>
  <c r="Z5" i="9"/>
  <c r="AA5" i="9"/>
  <c r="W5" i="9"/>
  <c r="C5" i="9"/>
  <c r="C172" i="10" s="1"/>
  <c r="C2" i="12" s="1"/>
  <c r="Y5" i="9"/>
  <c r="O5" i="9"/>
  <c r="N5" i="9"/>
  <c r="D5" i="9"/>
  <c r="D172" i="10" s="1"/>
  <c r="D2" i="12" s="1"/>
  <c r="C57" i="10"/>
  <c r="C171" i="10" s="1"/>
  <c r="C2" i="11" s="1"/>
  <c r="F9" i="9"/>
  <c r="E9" i="9"/>
  <c r="F9" i="10"/>
  <c r="E57" i="10"/>
  <c r="E171" i="10" s="1"/>
  <c r="E2" i="11" s="1"/>
  <c r="D57" i="10"/>
  <c r="D171" i="10" s="1"/>
  <c r="D2" i="11" s="1"/>
  <c r="E109" i="10"/>
  <c r="E172" i="10" s="1"/>
  <c r="E2" i="12" s="1"/>
  <c r="F61" i="10"/>
  <c r="C109" i="10"/>
  <c r="C161" i="10"/>
  <c r="C173" i="10" s="1"/>
  <c r="C2" i="13" s="1"/>
  <c r="D113" i="10"/>
  <c r="B172" i="10" l="1"/>
  <c r="B2" i="12" s="1"/>
  <c r="B173" i="10"/>
  <c r="B2" i="13" s="1"/>
  <c r="F109" i="10"/>
  <c r="F172" i="10" s="1"/>
  <c r="F2" i="12" s="1"/>
  <c r="G61" i="10"/>
  <c r="D161" i="10"/>
  <c r="D173" i="10" s="1"/>
  <c r="D2" i="13" s="1"/>
  <c r="E113" i="10"/>
  <c r="G9" i="10"/>
  <c r="F57" i="10"/>
  <c r="F171" i="10" s="1"/>
  <c r="F2" i="11" s="1"/>
  <c r="G57" i="10" l="1"/>
  <c r="G171" i="10" s="1"/>
  <c r="G2" i="11" s="1"/>
  <c r="H9" i="10"/>
  <c r="G109" i="10"/>
  <c r="G172" i="10" s="1"/>
  <c r="G2" i="12" s="1"/>
  <c r="H61" i="10"/>
  <c r="F113" i="10"/>
  <c r="E161" i="10"/>
  <c r="E173" i="10" s="1"/>
  <c r="E2" i="13" s="1"/>
  <c r="G113" i="10" l="1"/>
  <c r="F161" i="10"/>
  <c r="F173" i="10" s="1"/>
  <c r="F2" i="13" s="1"/>
  <c r="H109" i="10"/>
  <c r="H172" i="10" s="1"/>
  <c r="H2" i="12" s="1"/>
  <c r="I61" i="10"/>
  <c r="I9" i="10"/>
  <c r="H57" i="10"/>
  <c r="H171" i="10" s="1"/>
  <c r="H2" i="11" s="1"/>
  <c r="J9" i="10" l="1"/>
  <c r="I57" i="10"/>
  <c r="I171" i="10" s="1"/>
  <c r="I2" i="11" s="1"/>
  <c r="I109" i="10"/>
  <c r="I172" i="10" s="1"/>
  <c r="I2" i="12" s="1"/>
  <c r="J61" i="10"/>
  <c r="H113" i="10"/>
  <c r="G161" i="10"/>
  <c r="G173" i="10" s="1"/>
  <c r="G2" i="13" s="1"/>
  <c r="K9" i="10" l="1"/>
  <c r="J57" i="10"/>
  <c r="J171" i="10" s="1"/>
  <c r="J2" i="11" s="1"/>
  <c r="I113" i="10"/>
  <c r="H161" i="10"/>
  <c r="H173" i="10" s="1"/>
  <c r="H2" i="13" s="1"/>
  <c r="K61" i="10"/>
  <c r="J109" i="10"/>
  <c r="J172" i="10" s="1"/>
  <c r="J2" i="12" s="1"/>
  <c r="K109" i="10" l="1"/>
  <c r="K172" i="10" s="1"/>
  <c r="K2" i="12" s="1"/>
  <c r="L61" i="10"/>
  <c r="K57" i="10"/>
  <c r="K171" i="10" s="1"/>
  <c r="K2" i="11" s="1"/>
  <c r="L9" i="10"/>
  <c r="I161" i="10"/>
  <c r="I173" i="10" s="1"/>
  <c r="I2" i="13" s="1"/>
  <c r="J113" i="10"/>
  <c r="J161" i="10" l="1"/>
  <c r="J173" i="10" s="1"/>
  <c r="J2" i="13" s="1"/>
  <c r="K113" i="10"/>
  <c r="L57" i="10"/>
  <c r="L171" i="10" s="1"/>
  <c r="L2" i="11" s="1"/>
  <c r="M9" i="10"/>
  <c r="L109" i="10"/>
  <c r="L172" i="10" s="1"/>
  <c r="L2" i="12" s="1"/>
  <c r="M61" i="10"/>
  <c r="M57" i="10" l="1"/>
  <c r="M171" i="10" s="1"/>
  <c r="M2" i="11" s="1"/>
  <c r="N9" i="10"/>
  <c r="M109" i="10"/>
  <c r="M172" i="10" s="1"/>
  <c r="M2" i="12" s="1"/>
  <c r="N61" i="10"/>
  <c r="L113" i="10"/>
  <c r="K161" i="10"/>
  <c r="K173" i="10" s="1"/>
  <c r="K2" i="13" s="1"/>
  <c r="M113" i="10" l="1"/>
  <c r="L161" i="10"/>
  <c r="L173" i="10" s="1"/>
  <c r="L2" i="13" s="1"/>
  <c r="N57" i="10"/>
  <c r="N171" i="10" s="1"/>
  <c r="N2" i="11" s="1"/>
  <c r="O9" i="10"/>
  <c r="N109" i="10"/>
  <c r="N172" i="10" s="1"/>
  <c r="N2" i="12" s="1"/>
  <c r="O61" i="10"/>
  <c r="O57" i="10" l="1"/>
  <c r="O171" i="10" s="1"/>
  <c r="O2" i="11" s="1"/>
  <c r="P9" i="10"/>
  <c r="P61" i="10"/>
  <c r="O109" i="10"/>
  <c r="O172" i="10" s="1"/>
  <c r="O2" i="12" s="1"/>
  <c r="N113" i="10"/>
  <c r="M161" i="10"/>
  <c r="M173" i="10" s="1"/>
  <c r="M2" i="13" s="1"/>
  <c r="N161" i="10" l="1"/>
  <c r="N173" i="10" s="1"/>
  <c r="N2" i="13" s="1"/>
  <c r="O113" i="10"/>
  <c r="P109" i="10"/>
  <c r="P172" i="10" s="1"/>
  <c r="P2" i="12" s="1"/>
  <c r="Q61" i="10"/>
  <c r="P57" i="10"/>
  <c r="P171" i="10" s="1"/>
  <c r="P2" i="11" s="1"/>
  <c r="Q9" i="10"/>
  <c r="R61" i="10" l="1"/>
  <c r="Q109" i="10"/>
  <c r="Q172" i="10" s="1"/>
  <c r="Q2" i="12" s="1"/>
  <c r="Q57" i="10"/>
  <c r="Q171" i="10" s="1"/>
  <c r="Q2" i="11" s="1"/>
  <c r="R9" i="10"/>
  <c r="P113" i="10"/>
  <c r="O161" i="10"/>
  <c r="O173" i="10" s="1"/>
  <c r="O2" i="13" s="1"/>
  <c r="Q113" i="10" l="1"/>
  <c r="P161" i="10"/>
  <c r="P173" i="10" s="1"/>
  <c r="P2" i="13" s="1"/>
  <c r="R57" i="10"/>
  <c r="R171" i="10" s="1"/>
  <c r="R2" i="11" s="1"/>
  <c r="S9" i="10"/>
  <c r="R109" i="10"/>
  <c r="R172" i="10" s="1"/>
  <c r="R2" i="12" s="1"/>
  <c r="S61" i="10"/>
  <c r="T61" i="10" l="1"/>
  <c r="S109" i="10"/>
  <c r="S172" i="10" s="1"/>
  <c r="S2" i="12" s="1"/>
  <c r="S57" i="10"/>
  <c r="S171" i="10" s="1"/>
  <c r="S2" i="11" s="1"/>
  <c r="T9" i="10"/>
  <c r="Q161" i="10"/>
  <c r="Q173" i="10" s="1"/>
  <c r="Q2" i="13" s="1"/>
  <c r="R113" i="10"/>
  <c r="T57" i="10" l="1"/>
  <c r="T171" i="10" s="1"/>
  <c r="T2" i="11" s="1"/>
  <c r="U9" i="10"/>
  <c r="R161" i="10"/>
  <c r="R173" i="10" s="1"/>
  <c r="R2" i="13" s="1"/>
  <c r="S113" i="10"/>
  <c r="U61" i="10"/>
  <c r="T109" i="10"/>
  <c r="T172" i="10" s="1"/>
  <c r="T2" i="12" s="1"/>
  <c r="S161" i="10" l="1"/>
  <c r="S173" i="10" s="1"/>
  <c r="S2" i="13" s="1"/>
  <c r="T113" i="10"/>
  <c r="U57" i="10"/>
  <c r="U171" i="10" s="1"/>
  <c r="U2" i="11" s="1"/>
  <c r="V9" i="10"/>
  <c r="V61" i="10"/>
  <c r="U109" i="10"/>
  <c r="U172" i="10" s="1"/>
  <c r="U2" i="12" s="1"/>
  <c r="V109" i="10" l="1"/>
  <c r="V172" i="10" s="1"/>
  <c r="V2" i="12" s="1"/>
  <c r="W61" i="10"/>
  <c r="V57" i="10"/>
  <c r="V171" i="10" s="1"/>
  <c r="V2" i="11" s="1"/>
  <c r="W9" i="10"/>
  <c r="T161" i="10"/>
  <c r="T173" i="10" s="1"/>
  <c r="T2" i="13" s="1"/>
  <c r="U113" i="10"/>
  <c r="W57" i="10" l="1"/>
  <c r="W171" i="10" s="1"/>
  <c r="W2" i="11" s="1"/>
  <c r="X9" i="10"/>
  <c r="V113" i="10"/>
  <c r="U161" i="10"/>
  <c r="U173" i="10" s="1"/>
  <c r="U2" i="13" s="1"/>
  <c r="W109" i="10"/>
  <c r="W172" i="10" s="1"/>
  <c r="W2" i="12" s="1"/>
  <c r="X61" i="10"/>
  <c r="X57" i="10" l="1"/>
  <c r="X171" i="10" s="1"/>
  <c r="X2" i="11" s="1"/>
  <c r="Y9" i="10"/>
  <c r="X109" i="10"/>
  <c r="X172" i="10" s="1"/>
  <c r="X2" i="12" s="1"/>
  <c r="Y61" i="10"/>
  <c r="W113" i="10"/>
  <c r="V161" i="10"/>
  <c r="V173" i="10" s="1"/>
  <c r="V2" i="13" s="1"/>
  <c r="X113" i="10" l="1"/>
  <c r="W161" i="10"/>
  <c r="W173" i="10" s="1"/>
  <c r="W2" i="13" s="1"/>
  <c r="Y109" i="10"/>
  <c r="Y172" i="10" s="1"/>
  <c r="Y2" i="12" s="1"/>
  <c r="Z61" i="10"/>
  <c r="Y57" i="10"/>
  <c r="Y171" i="10" s="1"/>
  <c r="Y2" i="11" s="1"/>
  <c r="Z9" i="10"/>
  <c r="AA61" i="10" l="1"/>
  <c r="Z109" i="10"/>
  <c r="Z172" i="10" s="1"/>
  <c r="Z2" i="12" s="1"/>
  <c r="Z57" i="10"/>
  <c r="Z171" i="10" s="1"/>
  <c r="Z2" i="11" s="1"/>
  <c r="AA9" i="10"/>
  <c r="X161" i="10"/>
  <c r="X173" i="10" s="1"/>
  <c r="X2" i="13" s="1"/>
  <c r="Y113" i="10"/>
  <c r="AA109" i="10" l="1"/>
  <c r="AA172" i="10" s="1"/>
  <c r="AA2" i="12" s="1"/>
  <c r="AB61" i="10"/>
  <c r="AB109" i="10" s="1"/>
  <c r="AB172" i="10" s="1"/>
  <c r="AB2" i="12" s="1"/>
  <c r="Y161" i="10"/>
  <c r="Y173" i="10" s="1"/>
  <c r="Y2" i="13" s="1"/>
  <c r="Z113" i="10"/>
  <c r="AA57" i="10"/>
  <c r="AA171" i="10" s="1"/>
  <c r="AA2" i="11" s="1"/>
  <c r="AB9" i="10"/>
  <c r="AB57" i="10" s="1"/>
  <c r="AB171" i="10" s="1"/>
  <c r="AB2" i="11" s="1"/>
  <c r="Z161" i="10" l="1"/>
  <c r="Z173" i="10" s="1"/>
  <c r="Z2" i="13" s="1"/>
  <c r="AA113" i="10"/>
  <c r="AA161" i="10" l="1"/>
  <c r="AA173" i="10" s="1"/>
  <c r="AA2" i="13" s="1"/>
  <c r="AB113" i="10"/>
  <c r="AB161" i="10" s="1"/>
  <c r="AB173" i="10" s="1"/>
  <c r="AB2" i="13"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<sst xmlns="http://schemas.openxmlformats.org/spreadsheetml/2006/main" count="725" uniqueCount="267">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</sst>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100</v>
      </c>
      <c r="C1" s="11">
        <v>46266</v>
      </c>
      <c r="F1" s="1" t="s">
        <v>2</v>
      </c>
      <c r="G1" s="1" t="s">
        <v>3</v>
      </c>
    </row>
    <row r="2" spans="1:7" x14ac:dyDescent="0.45">
      <c r="A2" s="1" t="s">
        <v>4</v>
      </c>
      <c r="B2" t="str">
        <f>INDEX($G$2:$G$49,MATCH($B$1,$F$2:$F$49,0))</f>
        <v>SD</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South Dakota</v>
      </c>
    </row>
    <row r="2" spans="1:28" x14ac:dyDescent="0.45">
      <c r="B2" t="str">
        <f>About!B2</f>
        <v>SD</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South Dakota</v>
      </c>
    </row>
    <row r="5" spans="1:29" x14ac:dyDescent="0.45">
      <c r="A5" t="s">
        <v>246</v>
      </c>
      <c r="B5" t="str">
        <f>About!$B$2</f>
        <v>SD</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138812.05049539809</v>
      </c>
      <c r="C171">
        <f>IF('State Calculations'!C$5&lt;&gt;"",B171*(1+'State Calculations'!C$5),IFERROR(INDEX(C9:C56,MATCH($B$5,$A9:$A56,0))/C57*C165,0))</f>
        <v>143428.79669021931</v>
      </c>
      <c r="D171">
        <f>IF('State Calculations'!D$5&lt;&gt;"",C171*(1+'State Calculations'!D$5),IFERROR(INDEX(D9:D56,MATCH($B$5,$A9:$A56,0))/D57*D165,0))</f>
        <v>147690.17006614065</v>
      </c>
      <c r="E171">
        <f>IF('State Calculations'!E$5&lt;&gt;"",D171*(1+'State Calculations'!E$5),IFERROR(INDEX(E9:E56,MATCH($B$5,$A9:$A56,0))/E57*E165,0))</f>
        <v>151452.33335392107</v>
      </c>
      <c r="F171">
        <f>IF('State Calculations'!F$5&lt;&gt;"",E171*(1+'State Calculations'!F$5),IFERROR(INDEX(F9:F56,MATCH($B$5,$A9:$A56,0))/F57*F165,0))</f>
        <v>154511.24103320524</v>
      </c>
      <c r="G171">
        <f>IF('State Calculations'!G$5&lt;&gt;"",F171*(1+'State Calculations'!G$5),IFERROR(INDEX(G9:G56,MATCH($B$5,$A9:$A56,0))/G57*G165,0))</f>
        <v>156566.01188448677</v>
      </c>
      <c r="H171">
        <f>IF('State Calculations'!H$5&lt;&gt;"",G171*(1+'State Calculations'!H$5),IFERROR(INDEX(H9:H56,MATCH($B$5,$A9:$A56,0))/H57*H165,0))</f>
        <v>157160.44316782942</v>
      </c>
      <c r="I171">
        <f>IF('State Calculations'!I$5&lt;&gt;"",H171*(1+'State Calculations'!I$5),IFERROR(INDEX(I9:I56,MATCH($B$5,$A9:$A56,0))/I57*I165,0))</f>
        <v>156906.17835919172</v>
      </c>
      <c r="J171">
        <f>IF('State Calculations'!J$5&lt;&gt;"",I171*(1+'State Calculations'!J$5),IFERROR(INDEX(J9:J56,MATCH($B$5,$A9:$A56,0))/J57*J165,0))</f>
        <v>156416.91649507303</v>
      </c>
      <c r="K171">
        <f>IF('State Calculations'!K$5&lt;&gt;"",J171*(1+'State Calculations'!K$5),IFERROR(INDEX(K9:K56,MATCH($B$5,$A9:$A56,0))/K57*K165,0))</f>
        <v>155656.14293029087</v>
      </c>
      <c r="L171">
        <f>IF('State Calculations'!L$5&lt;&gt;"",K171*(1+'State Calculations'!L$5),IFERROR(INDEX(L9:L56,MATCH($B$5,$A9:$A56,0))/L57*L165,0))</f>
        <v>154582.02521886126</v>
      </c>
      <c r="M171">
        <f>IF('State Calculations'!M$5&lt;&gt;"",L171*(1+'State Calculations'!M$5),IFERROR(INDEX(M9:M56,MATCH($B$5,$A9:$A56,0))/M57*M165,0))</f>
        <v>153147.26179787292</v>
      </c>
      <c r="N171">
        <f>IF('State Calculations'!N$5&lt;&gt;"",M171*(1+'State Calculations'!N$5),IFERROR(INDEX(N9:N56,MATCH($B$5,$A9:$A56,0))/N57*N165,0))</f>
        <v>152683.68458050149</v>
      </c>
      <c r="O171">
        <f>IF('State Calculations'!O$5&lt;&gt;"",N171*(1+'State Calculations'!O$5),IFERROR(INDEX(O9:O56,MATCH($B$5,$A9:$A56,0))/O57*O165,0))</f>
        <v>152188.46865514663</v>
      </c>
      <c r="P171">
        <f>IF('State Calculations'!P$5&lt;&gt;"",O171*(1+'State Calculations'!P$5),IFERROR(INDEX(P9:P56,MATCH($B$5,$A9:$A56,0))/P57*P165,0))</f>
        <v>151660.42047332021</v>
      </c>
      <c r="Q171">
        <f>IF('State Calculations'!Q$5&lt;&gt;"",P171*(1+'State Calculations'!Q$5),IFERROR(INDEX(Q9:Q56,MATCH($B$5,$A9:$A56,0))/Q57*Q165,0))</f>
        <v>151098.32198628114</v>
      </c>
      <c r="R171">
        <f>IF('State Calculations'!R$5&lt;&gt;"",Q171*(1+'State Calculations'!R$5),IFERROR(INDEX(R9:R56,MATCH($B$5,$A9:$A56,0))/R57*R165,0))</f>
        <v>150500.93325144972</v>
      </c>
      <c r="S171">
        <f>IF('State Calculations'!S$5&lt;&gt;"",R171*(1+'State Calculations'!S$5),IFERROR(INDEX(S9:S56,MATCH($B$5,$A9:$A56,0))/S57*S165,0))</f>
        <v>150341.92407011014</v>
      </c>
      <c r="T171">
        <f>IF('State Calculations'!T$5&lt;&gt;"",S171*(1+'State Calculations'!T$5),IFERROR(INDEX(T9:T56,MATCH($B$5,$A9:$A56,0))/T57*T165,0))</f>
        <v>150180.4984359901</v>
      </c>
      <c r="U171">
        <f>IF('State Calculations'!U$5&lt;&gt;"",T171*(1+'State Calculations'!U$5),IFERROR(INDEX(U9:U56,MATCH($B$5,$A9:$A56,0))/U57*U165,0))</f>
        <v>150016.63474461529</v>
      </c>
      <c r="V171">
        <f>IF('State Calculations'!V$5&lt;&gt;"",U171*(1+'State Calculations'!V$5),IFERROR(INDEX(V9:V56,MATCH($B$5,$A9:$A56,0))/V57*V165,0))</f>
        <v>149850.31133011918</v>
      </c>
      <c r="W171">
        <f>IF('State Calculations'!W$5&lt;&gt;"",V171*(1+'State Calculations'!W$5),IFERROR(INDEX(W9:W56,MATCH($B$5,$A9:$A56,0))/W57*W165,0))</f>
        <v>149681.50646982316</v>
      </c>
      <c r="X171">
        <f>IF('State Calculations'!X$5&lt;&gt;"",W171*(1+'State Calculations'!X$5),IFERROR(INDEX(X9:X56,MATCH($B$5,$A9:$A56,0))/X57*X165,0))</f>
        <v>149638.63775562978</v>
      </c>
      <c r="Y171">
        <f>IF('State Calculations'!Y$5&lt;&gt;"",X171*(1+'State Calculations'!Y$5),IFERROR(INDEX(Y9:Y56,MATCH($B$5,$A9:$A56,0))/Y57*Y165,0))</f>
        <v>149595.61031590938</v>
      </c>
      <c r="Z171">
        <f>IF('State Calculations'!Z$5&lt;&gt;"",Y171*(1+'State Calculations'!Z$5),IFERROR(INDEX(Z9:Z56,MATCH($B$5,$A9:$A56,0))/Z57*Z165,0))</f>
        <v>149552.42380243001</v>
      </c>
      <c r="AA171">
        <f>IF('State Calculations'!AA$5&lt;&gt;"",Z171*(1+'State Calculations'!AA$5),IFERROR(INDEX(AA9:AA56,MATCH($B$5,$A9:$A56,0))/AA57*AA165,0))</f>
        <v>149509.07786677673</v>
      </c>
      <c r="AB171">
        <f>IF('State Calculations'!AB$5&lt;&gt;"",AA171*(1+'State Calculations'!AB$5),IFERROR(INDEX(AB9:AB56,MATCH($B$5,$A9:$A56,0))/AB57*AB165,0))</f>
        <v>149465.57216035711</v>
      </c>
    </row>
    <row r="172" spans="1:29" x14ac:dyDescent="0.45">
      <c r="A172" s="1" t="s">
        <v>262</v>
      </c>
      <c r="B172">
        <f>IF('State Calculations'!B$5&lt;&gt;"",A172*(1+'State Calculations'!B$5),IFERROR(INDEX(B61:B108,MATCH($B$5,$A61:$A108,0))/B109*B166,0))</f>
        <v>138812.05049539809</v>
      </c>
      <c r="C172">
        <f>IF('State Calculations'!C$5&lt;&gt;"",B172*(1+'State Calculations'!C$5),IFERROR(INDEX(C61:C108,MATCH($B$5,$A61:$A108,0))/C109*C166,0))</f>
        <v>149717.73725201678</v>
      </c>
      <c r="D172">
        <f>IF('State Calculations'!D$5&lt;&gt;"",C172*(1+'State Calculations'!D$5),IFERROR(INDEX(D61:D108,MATCH($B$5,$A61:$A108,0))/D109*D166,0))</f>
        <v>160448.90719932178</v>
      </c>
      <c r="E172">
        <f>IF('State Calculations'!E$5&lt;&gt;"",D172*(1+'State Calculations'!E$5),IFERROR(INDEX(E61:E108,MATCH($B$5,$A61:$A108,0))/E109*E166,0))</f>
        <v>170669.07987134147</v>
      </c>
      <c r="F172">
        <f>IF('State Calculations'!F$5&lt;&gt;"",E172*(1+'State Calculations'!F$5),IFERROR(INDEX(F61:F108,MATCH($B$5,$A61:$A108,0))/F109*F166,0))</f>
        <v>179915.37664830755</v>
      </c>
      <c r="G172">
        <f>IF('State Calculations'!G$5&lt;&gt;"",F172*(1+'State Calculations'!G$5),IFERROR(INDEX(G61:G108,MATCH($B$5,$A61:$A108,0))/G109*G166,0))</f>
        <v>187555.40414004063</v>
      </c>
      <c r="H172">
        <f>IF('State Calculations'!H$5&lt;&gt;"",G172*(1+'State Calculations'!H$5),IFERROR(INDEX(H61:H108,MATCH($B$5,$A61:$A108,0))/H109*H166,0))</f>
        <v>192741.42229733267</v>
      </c>
      <c r="I172">
        <f>IF('State Calculations'!I$5&lt;&gt;"",H172*(1+'State Calculations'!I$5),IFERROR(INDEX(I61:I108,MATCH($B$5,$A61:$A108,0))/I109*I166,0))</f>
        <v>193173.42316593861</v>
      </c>
      <c r="J172">
        <f>IF('State Calculations'!J$5&lt;&gt;"",I172*(1+'State Calculations'!J$5),IFERROR(INDEX(J61:J108,MATCH($B$5,$A61:$A108,0))/J109*J166,0))</f>
        <v>193200.54732800976</v>
      </c>
      <c r="K172">
        <f>IF('State Calculations'!K$5&lt;&gt;"",J172*(1+'State Calculations'!K$5),IFERROR(INDEX(K61:K108,MATCH($B$5,$A61:$A108,0))/K109*K166,0))</f>
        <v>192775.20638553583</v>
      </c>
      <c r="L172">
        <f>IF('State Calculations'!L$5&lt;&gt;"",K172*(1+'State Calculations'!L$5),IFERROR(INDEX(L61:L108,MATCH($B$5,$A61:$A108,0))/L109*L166,0))</f>
        <v>191846.89147713323</v>
      </c>
      <c r="M172">
        <f>IF('State Calculations'!M$5&lt;&gt;"",L172*(1+'State Calculations'!M$5),IFERROR(INDEX(M61:M108,MATCH($B$5,$A61:$A108,0))/M109*M166,0))</f>
        <v>190362.96877145159</v>
      </c>
      <c r="N172">
        <f>IF('State Calculations'!N$5&lt;&gt;"",M172*(1+'State Calculations'!N$5),IFERROR(INDEX(N61:N108,MATCH($B$5,$A61:$A108,0))/N109*N166,0))</f>
        <v>189811.14059669545</v>
      </c>
      <c r="O172">
        <f>IF('State Calculations'!O$5&lt;&gt;"",N172*(1+'State Calculations'!O$5),IFERROR(INDEX(O61:O108,MATCH($B$5,$A61:$A108,0))/O109*O166,0))</f>
        <v>189212.82362675507</v>
      </c>
      <c r="P172">
        <f>IF('State Calculations'!P$5&lt;&gt;"",O172*(1+'State Calculations'!P$5),IFERROR(INDEX(P61:P108,MATCH($B$5,$A61:$A108,0))/P109*P166,0))</f>
        <v>188566.87058694064</v>
      </c>
      <c r="Q172">
        <f>IF('State Calculations'!Q$5&lt;&gt;"",P172*(1+'State Calculations'!Q$5),IFERROR(INDEX(Q61:Q108,MATCH($B$5,$A61:$A108,0))/Q109*Q166,0))</f>
        <v>187872.14101176904</v>
      </c>
      <c r="R172">
        <f>IF('State Calculations'!R$5&lt;&gt;"",Q172*(1+'State Calculations'!R$5),IFERROR(INDEX(R61:R108,MATCH($B$5,$A61:$A108,0))/R109*R166,0))</f>
        <v>187127.50523788657</v>
      </c>
      <c r="S172">
        <f>IF('State Calculations'!S$5&lt;&gt;"",R172*(1+'State Calculations'!S$5),IFERROR(INDEX(S61:S108,MATCH($B$5,$A61:$A108,0))/S109*S166,0))</f>
        <v>186925.72636522737</v>
      </c>
      <c r="T172">
        <f>IF('State Calculations'!T$5&lt;&gt;"",S172*(1+'State Calculations'!T$5),IFERROR(INDEX(T61:T108,MATCH($B$5,$A61:$A108,0))/T109*T166,0))</f>
        <v>186720.57774908515</v>
      </c>
      <c r="U172">
        <f>IF('State Calculations'!U$5&lt;&gt;"",T172*(1+'State Calculations'!U$5),IFERROR(INDEX(U61:U108,MATCH($B$5,$A61:$A108,0))/U109*U166,0))</f>
        <v>186512.04052667969</v>
      </c>
      <c r="V172">
        <f>IF('State Calculations'!V$5&lt;&gt;"",U172*(1+'State Calculations'!V$5),IFERROR(INDEX(V61:V108,MATCH($B$5,$A61:$A108,0))/V109*V166,0))</f>
        <v>186300.09592554011</v>
      </c>
      <c r="W172">
        <f>IF('State Calculations'!W$5&lt;&gt;"",V172*(1+'State Calculations'!W$5),IFERROR(INDEX(W61:W108,MATCH($B$5,$A61:$A108,0))/W109*W166,0))</f>
        <v>186084.7252692153</v>
      </c>
      <c r="X172">
        <f>IF('State Calculations'!X$5&lt;&gt;"",W172*(1+'State Calculations'!X$5),IFERROR(INDEX(X61:X108,MATCH($B$5,$A61:$A108,0))/X109*X166,0))</f>
        <v>186029.82087009368</v>
      </c>
      <c r="Y172">
        <f>IF('State Calculations'!Y$5&lt;&gt;"",X172*(1+'State Calculations'!Y$5),IFERROR(INDEX(Y61:Y108,MATCH($B$5,$A61:$A108,0))/Y109*Y166,0))</f>
        <v>185974.69810580547</v>
      </c>
      <c r="Z172">
        <f>IF('State Calculations'!Z$5&lt;&gt;"",Y172*(1+'State Calculations'!Z$5),IFERROR(INDEX(Z61:Z108,MATCH($B$5,$A61:$A108,0))/Z109*Z166,0))</f>
        <v>185919.35668032488</v>
      </c>
      <c r="AA172">
        <f>IF('State Calculations'!AA$5&lt;&gt;"",Z172*(1+'State Calculations'!AA$5),IFERROR(INDEX(AA61:AA108,MATCH($B$5,$A61:$A108,0))/AA109*AA166,0))</f>
        <v>185863.79629806403</v>
      </c>
      <c r="AB172">
        <f>IF('State Calculations'!AB$5&lt;&gt;"",AA172*(1+'State Calculations'!AB$5),IFERROR(INDEX(AB61:AB108,MATCH($B$5,$A61:$A108,0))/AB109*AB166,0))</f>
        <v>185808.01666387889</v>
      </c>
    </row>
    <row r="173" spans="1:29" x14ac:dyDescent="0.45">
      <c r="A173" s="1" t="s">
        <v>263</v>
      </c>
      <c r="B173">
        <f>IF('State Calculations'!B$5&lt;&gt;"",A173*(1+'State Calculations'!B$5),IFERROR(INDEX(B113:B160,MATCH($B$5,$A113:$A160,0))/B161*B167,0))</f>
        <v>138812.05049539809</v>
      </c>
      <c r="C173">
        <f>IF('State Calculations'!C$5&lt;&gt;"",B173*(1+'State Calculations'!C$5),IFERROR(INDEX(C113:C160,MATCH($B$5,$A113:$A160,0))/C161*C167,0))</f>
        <v>154322.9354372985</v>
      </c>
      <c r="D173">
        <f>IF('State Calculations'!D$5&lt;&gt;"",C173*(1+'State Calculations'!D$5),IFERROR(INDEX(D113:D160,MATCH($B$5,$A113:$A160,0))/D161*D167,0))</f>
        <v>170285.24929004704</v>
      </c>
      <c r="E173">
        <f>IF('State Calculations'!E$5&lt;&gt;"",D173*(1+'State Calculations'!E$5),IFERROR(INDEX(E113:E160,MATCH($B$5,$A113:$A160,0))/E161*E167,0))</f>
        <v>186301.39365912942</v>
      </c>
      <c r="F173">
        <f>IF('State Calculations'!F$5&lt;&gt;"",E173*(1+'State Calculations'!F$5),IFERROR(INDEX(F113:F160,MATCH($B$5,$A113:$A160,0))/F161*F167,0))</f>
        <v>201785.43898581318</v>
      </c>
      <c r="G173">
        <f>IF('State Calculations'!G$5&lt;&gt;"",F173*(1+'State Calculations'!G$5),IFERROR(INDEX(G113:G160,MATCH($B$5,$A113:$A160,0))/G161*G167,0))</f>
        <v>215893.60872424903</v>
      </c>
      <c r="H173">
        <f>IF('State Calculations'!H$5&lt;&gt;"",G173*(1+'State Calculations'!H$5),IFERROR(INDEX(H113:H160,MATCH($B$5,$A113:$A160,0))/H161*H167,0))</f>
        <v>227447.01406919881</v>
      </c>
      <c r="I173">
        <f>IF('State Calculations'!I$5&lt;&gt;"",H173*(1+'State Calculations'!I$5),IFERROR(INDEX(I113:I160,MATCH($B$5,$A113:$A160,0))/I161*I167,0))</f>
        <v>229233.86678902278</v>
      </c>
      <c r="J173">
        <f>IF('State Calculations'!J$5&lt;&gt;"",I173*(1+'State Calculations'!J$5),IFERROR(INDEX(J113:J160,MATCH($B$5,$A113:$A160,0))/J161*J167,0))</f>
        <v>230483.157548232</v>
      </c>
      <c r="K173">
        <f>IF('State Calculations'!K$5&lt;&gt;"",J173*(1+'State Calculations'!K$5),IFERROR(INDEX(K113:K160,MATCH($B$5,$A113:$A160,0))/K161*K167,0))</f>
        <v>231121.24785655775</v>
      </c>
      <c r="L173">
        <f>IF('State Calculations'!L$5&lt;&gt;"",K173*(1+'State Calculations'!L$5),IFERROR(INDEX(L113:L160,MATCH($B$5,$A113:$A160,0))/L161*L167,0))</f>
        <v>231069.66177570389</v>
      </c>
      <c r="M173">
        <f>IF('State Calculations'!M$5&lt;&gt;"",L173*(1+'State Calculations'!M$5),IFERROR(INDEX(M113:M160,MATCH($B$5,$A113:$A160,0))/M161*M167,0))</f>
        <v>230246.39047990003</v>
      </c>
      <c r="N173">
        <f>IF('State Calculations'!N$5&lt;&gt;"",M173*(1+'State Calculations'!N$5),IFERROR(INDEX(N113:N160,MATCH($B$5,$A113:$A160,0))/N161*N167,0))</f>
        <v>229770.55561103678</v>
      </c>
      <c r="O173">
        <f>IF('State Calculations'!O$5&lt;&gt;"",N173*(1+'State Calculations'!O$5),IFERROR(INDEX(O113:O160,MATCH($B$5,$A113:$A160,0))/O161*O167,0))</f>
        <v>229227.51920030231</v>
      </c>
      <c r="P173">
        <f>IF('State Calculations'!P$5&lt;&gt;"",O173*(1+'State Calculations'!P$5),IFERROR(INDEX(P113:P160,MATCH($B$5,$A113:$A160,0))/P161*P167,0))</f>
        <v>228615.46047668511</v>
      </c>
      <c r="Q173">
        <f>IF('State Calculations'!Q$5&lt;&gt;"",P173*(1+'State Calculations'!Q$5),IFERROR(INDEX(Q113:Q160,MATCH($B$5,$A113:$A160,0))/Q161*Q167,0))</f>
        <v>227932.57243025771</v>
      </c>
      <c r="R173">
        <f>IF('State Calculations'!R$5&lt;&gt;"",Q173*(1+'State Calculations'!R$5),IFERROR(INDEX(R113:R160,MATCH($B$5,$A113:$A160,0))/R161*R167,0))</f>
        <v>227177.06892061493</v>
      </c>
      <c r="S173">
        <f>IF('State Calculations'!S$5&lt;&gt;"",R173*(1+'State Calculations'!S$5),IFERROR(INDEX(S113:S160,MATCH($B$5,$A113:$A160,0))/S161*S167,0))</f>
        <v>226964.12831768149</v>
      </c>
      <c r="T173">
        <f>IF('State Calculations'!T$5&lt;&gt;"",S173*(1+'State Calculations'!T$5),IFERROR(INDEX(T113:T160,MATCH($B$5,$A113:$A160,0))/T161*T167,0))</f>
        <v>226746.23734758323</v>
      </c>
      <c r="U173">
        <f>IF('State Calculations'!U$5&lt;&gt;"",T173*(1+'State Calculations'!U$5),IFERROR(INDEX(U113:U160,MATCH($B$5,$A113:$A160,0))/U161*U167,0))</f>
        <v>226523.36616282992</v>
      </c>
      <c r="V173">
        <f>IF('State Calculations'!V$5&lt;&gt;"",U173*(1+'State Calculations'!V$5),IFERROR(INDEX(V113:V160,MATCH($B$5,$A113:$A160,0))/V161*V167,0))</f>
        <v>226295.4850885421</v>
      </c>
      <c r="W173">
        <f>IF('State Calculations'!W$5&lt;&gt;"",V173*(1+'State Calculations'!W$5),IFERROR(INDEX(W113:W160,MATCH($B$5,$A113:$A160,0))/W161*W167,0))</f>
        <v>226062.56463280035</v>
      </c>
      <c r="X173">
        <f>IF('State Calculations'!X$5&lt;&gt;"",W173*(1+'State Calculations'!X$5),IFERROR(INDEX(X113:X160,MATCH($B$5,$A113:$A160,0))/X161*X167,0))</f>
        <v>226002.68566801419</v>
      </c>
      <c r="Y173">
        <f>IF('State Calculations'!Y$5&lt;&gt;"",X173*(1+'State Calculations'!Y$5),IFERROR(INDEX(Y113:Y160,MATCH($B$5,$A113:$A160,0))/Y161*Y167,0))</f>
        <v>225942.48474489409</v>
      </c>
      <c r="Z173">
        <f>IF('State Calculations'!Z$5&lt;&gt;"",Y173*(1+'State Calculations'!Z$5),IFERROR(INDEX(Z113:Z160,MATCH($B$5,$A113:$A160,0))/Z161*Z167,0))</f>
        <v>225881.96139617742</v>
      </c>
      <c r="AA173">
        <f>IF('State Calculations'!AA$5&lt;&gt;"",Z173*(1+'State Calculations'!AA$5),IFERROR(INDEX(AA113:AA160,MATCH($B$5,$A113:$A160,0))/AA161*AA167,0))</f>
        <v>225821.11515543624</v>
      </c>
      <c r="AB173">
        <f>IF('State Calculations'!AB$5&lt;&gt;"",AA173*(1+'State Calculations'!AB$5),IFERROR(INDEX(AB113:AB160,MATCH($B$5,$A113:$A160,0))/AB161*AB167,0))</f>
        <v>225759.9455570881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138812.05049539809</v>
      </c>
      <c r="C2">
        <f>Calcs!C171</f>
        <v>143428.79669021931</v>
      </c>
      <c r="D2">
        <f>Calcs!D171</f>
        <v>147690.17006614065</v>
      </c>
      <c r="E2">
        <f>Calcs!E171</f>
        <v>151452.33335392107</v>
      </c>
      <c r="F2">
        <f>Calcs!F171</f>
        <v>154511.24103320524</v>
      </c>
      <c r="G2">
        <f>Calcs!G171</f>
        <v>156566.01188448677</v>
      </c>
      <c r="H2">
        <f>Calcs!H171</f>
        <v>157160.44316782942</v>
      </c>
      <c r="I2">
        <f>Calcs!I171</f>
        <v>156906.17835919172</v>
      </c>
      <c r="J2">
        <f>Calcs!J171</f>
        <v>156416.91649507303</v>
      </c>
      <c r="K2">
        <f>Calcs!K171</f>
        <v>155656.14293029087</v>
      </c>
      <c r="L2">
        <f>Calcs!L171</f>
        <v>154582.02521886126</v>
      </c>
      <c r="M2">
        <f>Calcs!M171</f>
        <v>153147.26179787292</v>
      </c>
      <c r="N2">
        <f>Calcs!N171</f>
        <v>152683.68458050149</v>
      </c>
      <c r="O2">
        <f>Calcs!O171</f>
        <v>152188.46865514663</v>
      </c>
      <c r="P2">
        <f>Calcs!P171</f>
        <v>151660.42047332021</v>
      </c>
      <c r="Q2">
        <f>Calcs!Q171</f>
        <v>151098.32198628114</v>
      </c>
      <c r="R2">
        <f>Calcs!R171</f>
        <v>150500.93325144972</v>
      </c>
      <c r="S2">
        <f>Calcs!S171</f>
        <v>150341.92407011014</v>
      </c>
      <c r="T2">
        <f>Calcs!T171</f>
        <v>150180.4984359901</v>
      </c>
      <c r="U2">
        <f>Calcs!U171</f>
        <v>150016.63474461529</v>
      </c>
      <c r="V2">
        <f>Calcs!V171</f>
        <v>149850.31133011918</v>
      </c>
      <c r="W2">
        <f>Calcs!W171</f>
        <v>149681.50646982316</v>
      </c>
      <c r="X2">
        <f>Calcs!X171</f>
        <v>149638.63775562978</v>
      </c>
      <c r="Y2">
        <f>Calcs!Y171</f>
        <v>149595.61031590938</v>
      </c>
      <c r="Z2">
        <f>Calcs!Z171</f>
        <v>149552.42380243001</v>
      </c>
      <c r="AA2">
        <f>Calcs!AA171</f>
        <v>149509.07786677673</v>
      </c>
      <c r="AB2">
        <f>Calcs!AB171</f>
        <v>149465.57216035711</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138812.05049539809</v>
      </c>
      <c r="C2">
        <f>Calcs!C172</f>
        <v>149717.73725201678</v>
      </c>
      <c r="D2">
        <f>Calcs!D172</f>
        <v>160448.90719932178</v>
      </c>
      <c r="E2">
        <f>Calcs!E172</f>
        <v>170669.07987134147</v>
      </c>
      <c r="F2">
        <f>Calcs!F172</f>
        <v>179915.37664830755</v>
      </c>
      <c r="G2">
        <f>Calcs!G172</f>
        <v>187555.40414004063</v>
      </c>
      <c r="H2">
        <f>Calcs!H172</f>
        <v>192741.42229733267</v>
      </c>
      <c r="I2">
        <f>Calcs!I172</f>
        <v>193173.42316593861</v>
      </c>
      <c r="J2">
        <f>Calcs!J172</f>
        <v>193200.54732800976</v>
      </c>
      <c r="K2">
        <f>Calcs!K172</f>
        <v>192775.20638553583</v>
      </c>
      <c r="L2">
        <f>Calcs!L172</f>
        <v>191846.89147713323</v>
      </c>
      <c r="M2">
        <f>Calcs!M172</f>
        <v>190362.96877145159</v>
      </c>
      <c r="N2">
        <f>Calcs!N172</f>
        <v>189811.14059669545</v>
      </c>
      <c r="O2">
        <f>Calcs!O172</f>
        <v>189212.82362675507</v>
      </c>
      <c r="P2">
        <f>Calcs!P172</f>
        <v>188566.87058694064</v>
      </c>
      <c r="Q2">
        <f>Calcs!Q172</f>
        <v>187872.14101176904</v>
      </c>
      <c r="R2">
        <f>Calcs!R172</f>
        <v>187127.50523788657</v>
      </c>
      <c r="S2">
        <f>Calcs!S172</f>
        <v>186925.72636522737</v>
      </c>
      <c r="T2">
        <f>Calcs!T172</f>
        <v>186720.57774908515</v>
      </c>
      <c r="U2">
        <f>Calcs!U172</f>
        <v>186512.04052667969</v>
      </c>
      <c r="V2">
        <f>Calcs!V172</f>
        <v>186300.09592554011</v>
      </c>
      <c r="W2">
        <f>Calcs!W172</f>
        <v>186084.7252692153</v>
      </c>
      <c r="X2">
        <f>Calcs!X172</f>
        <v>186029.82087009368</v>
      </c>
      <c r="Y2">
        <f>Calcs!Y172</f>
        <v>185974.69810580547</v>
      </c>
      <c r="Z2">
        <f>Calcs!Z172</f>
        <v>185919.35668032488</v>
      </c>
      <c r="AA2">
        <f>Calcs!AA172</f>
        <v>185863.79629806403</v>
      </c>
      <c r="AB2">
        <f>Calcs!AB172</f>
        <v>185808.01666387889</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138812.05049539809</v>
      </c>
      <c r="C2">
        <f>Calcs!C173</f>
        <v>154322.9354372985</v>
      </c>
      <c r="D2">
        <f>Calcs!D173</f>
        <v>170285.24929004704</v>
      </c>
      <c r="E2">
        <f>Calcs!E173</f>
        <v>186301.39365912942</v>
      </c>
      <c r="F2">
        <f>Calcs!F173</f>
        <v>201785.43898581318</v>
      </c>
      <c r="G2">
        <f>Calcs!G173</f>
        <v>215893.60872424903</v>
      </c>
      <c r="H2">
        <f>Calcs!H173</f>
        <v>227447.01406919881</v>
      </c>
      <c r="I2">
        <f>Calcs!I173</f>
        <v>229233.86678902278</v>
      </c>
      <c r="J2">
        <f>Calcs!J173</f>
        <v>230483.157548232</v>
      </c>
      <c r="K2">
        <f>Calcs!K173</f>
        <v>231121.24785655775</v>
      </c>
      <c r="L2">
        <f>Calcs!L173</f>
        <v>231069.66177570389</v>
      </c>
      <c r="M2">
        <f>Calcs!M173</f>
        <v>230246.39047990003</v>
      </c>
      <c r="N2">
        <f>Calcs!N173</f>
        <v>229770.55561103678</v>
      </c>
      <c r="O2">
        <f>Calcs!O173</f>
        <v>229227.51920030231</v>
      </c>
      <c r="P2">
        <f>Calcs!P173</f>
        <v>228615.46047668511</v>
      </c>
      <c r="Q2">
        <f>Calcs!Q173</f>
        <v>227932.57243025771</v>
      </c>
      <c r="R2">
        <f>Calcs!R173</f>
        <v>227177.06892061493</v>
      </c>
      <c r="S2">
        <f>Calcs!S173</f>
        <v>226964.12831768149</v>
      </c>
      <c r="T2">
        <f>Calcs!T173</f>
        <v>226746.23734758323</v>
      </c>
      <c r="U2">
        <f>Calcs!U173</f>
        <v>226523.36616282992</v>
      </c>
      <c r="V2">
        <f>Calcs!V173</f>
        <v>226295.4850885421</v>
      </c>
      <c r="W2">
        <f>Calcs!W173</f>
        <v>226062.56463280035</v>
      </c>
      <c r="X2">
        <f>Calcs!X173</f>
        <v>226002.68566801419</v>
      </c>
      <c r="Y2">
        <f>Calcs!Y173</f>
        <v>225942.48474489409</v>
      </c>
      <c r="Z2">
        <f>Calcs!Z173</f>
        <v>225881.96139617742</v>
      </c>
      <c r="AA2">
        <f>Calcs!AA173</f>
        <v>225821.11515543624</v>
      </c>
      <c r="AB2">
        <f>Calcs!AB173</f>
        <v>225759.9455570881</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2026-09-01T22:21:51Z</dcterms:modified>
</cp:coreProperties>
</file>