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SD/bldgs/SYCEU/"/>
    </mc:Choice>
  </mc:AlternateContent>
  <xr:revisionPtr revIDLastSave="0" documentId="8_{CAE8B028-298B-C040-9D57-47F2ACB6B231}"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8" l="1"/>
  <c r="E5" i="8"/>
  <c r="G6" i="8"/>
  <c r="B8" i="8"/>
  <c r="C8" i="8"/>
  <c r="E9" i="8"/>
  <c r="G10" i="8"/>
  <c r="D2" i="8"/>
  <c r="D3" i="7"/>
  <c r="E4" i="7"/>
  <c r="F4" i="7"/>
  <c r="B6" i="7"/>
  <c r="D7" i="7"/>
  <c r="E7" i="7"/>
  <c r="G8" i="7"/>
  <c r="C10" i="7"/>
  <c r="E11" i="7"/>
  <c r="B2" i="6"/>
  <c r="C11" i="6"/>
  <c r="B3" i="6"/>
  <c r="C3" i="6"/>
  <c r="E4" i="6"/>
  <c r="G5" i="6"/>
  <c r="C7" i="6"/>
  <c r="D8" i="6"/>
  <c r="E8" i="6"/>
  <c r="F9" i="6"/>
  <c r="G9" i="6"/>
  <c r="C2" i="6"/>
  <c r="D2" i="6"/>
  <c r="B2" i="1"/>
  <c r="B2" i="8" s="1"/>
  <c r="B7" i="6" l="1"/>
  <c r="F5" i="6"/>
  <c r="D4" i="6"/>
  <c r="G5" i="7"/>
  <c r="B4" i="8"/>
  <c r="G10" i="6"/>
  <c r="E9" i="6"/>
  <c r="G6" i="6"/>
  <c r="E5" i="6"/>
  <c r="G11" i="6"/>
  <c r="G9" i="7"/>
  <c r="E8" i="7"/>
  <c r="C7" i="7"/>
  <c r="F5" i="7"/>
  <c r="D4" i="7"/>
  <c r="B3" i="7"/>
  <c r="G11" i="8"/>
  <c r="E10" i="8"/>
  <c r="C9" i="8"/>
  <c r="G7" i="8"/>
  <c r="E6" i="8"/>
  <c r="C5" i="8"/>
  <c r="G3" i="8"/>
  <c r="D5" i="8"/>
  <c r="C4" i="6"/>
  <c r="C11" i="7"/>
  <c r="B8" i="6"/>
  <c r="F11" i="6"/>
  <c r="D2" i="7"/>
  <c r="B11" i="7"/>
  <c r="F9" i="7"/>
  <c r="D8" i="7"/>
  <c r="G6" i="7"/>
  <c r="E5" i="7"/>
  <c r="C4" i="7"/>
  <c r="B7" i="7"/>
  <c r="F11" i="8"/>
  <c r="D10" i="8"/>
  <c r="B9" i="8"/>
  <c r="F7" i="8"/>
  <c r="D6" i="8"/>
  <c r="B5" i="8"/>
  <c r="F3" i="8"/>
  <c r="G3" i="6"/>
  <c r="E11" i="6"/>
  <c r="C2" i="7"/>
  <c r="G10" i="7"/>
  <c r="E9" i="7"/>
  <c r="C8" i="7"/>
  <c r="F6" i="7"/>
  <c r="D5" i="7"/>
  <c r="B4" i="7"/>
  <c r="B2" i="7"/>
  <c r="E11" i="8"/>
  <c r="C10" i="8"/>
  <c r="G8" i="8"/>
  <c r="E7" i="8"/>
  <c r="C6" i="8"/>
  <c r="G4" i="8"/>
  <c r="E3" i="8"/>
  <c r="F2" i="7"/>
  <c r="D11" i="7"/>
  <c r="B10" i="7"/>
  <c r="F8" i="7"/>
  <c r="C3" i="7"/>
  <c r="C2" i="8"/>
  <c r="F10" i="8"/>
  <c r="D9" i="8"/>
  <c r="F6" i="8"/>
  <c r="C8" i="6"/>
  <c r="E2" i="7"/>
  <c r="F10" i="6"/>
  <c r="D9" i="6"/>
  <c r="F6" i="6"/>
  <c r="D5" i="6"/>
  <c r="B4" i="6"/>
  <c r="E10" i="6"/>
  <c r="G7" i="6"/>
  <c r="C5" i="6"/>
  <c r="D10" i="6"/>
  <c r="F7" i="6"/>
  <c r="D6" i="6"/>
  <c r="B5" i="6"/>
  <c r="F3" i="6"/>
  <c r="D11" i="6"/>
  <c r="G2" i="7"/>
  <c r="F10" i="7"/>
  <c r="D9" i="7"/>
  <c r="B8" i="7"/>
  <c r="E6" i="7"/>
  <c r="C5" i="7"/>
  <c r="G3" i="7"/>
  <c r="G2" i="8"/>
  <c r="D11" i="8"/>
  <c r="B10" i="8"/>
  <c r="F8" i="8"/>
  <c r="D7" i="8"/>
  <c r="B6" i="8"/>
  <c r="F4" i="8"/>
  <c r="D3" i="8"/>
  <c r="C9" i="6"/>
  <c r="E6" i="6"/>
  <c r="G2" i="6"/>
  <c r="B9" i="6"/>
  <c r="F2" i="6"/>
  <c r="C10" i="6"/>
  <c r="G8" i="6"/>
  <c r="E7" i="6"/>
  <c r="C6" i="6"/>
  <c r="G4" i="6"/>
  <c r="E3" i="6"/>
  <c r="C3" i="8"/>
  <c r="G11" i="7"/>
  <c r="E10" i="7"/>
  <c r="C9" i="7"/>
  <c r="G7" i="7"/>
  <c r="D6"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<sst xmlns="http://schemas.openxmlformats.org/spreadsheetml/2006/main" count="41309" uniqueCount="747">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</sst>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730</v>
      </c>
      <c r="C1" s="68">
        <v>45250</v>
      </c>
      <c r="F1" s="71" t="s">
        <v>622</v>
      </c>
      <c r="G1" s="71" t="s">
        <v>622</v>
      </c>
    </row>
    <row r="2" spans="1:7" x14ac:dyDescent="0.2">
      <c r="A2" s="2"/>
      <c r="B2" s="2" t="str">
        <f>LOOKUP(B1,F2:G51,G2:G51)</f>
        <v>SD</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1625938824671.5801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528800298870.24902</v>
      </c>
      <c r="F2" s="66">
        <f>SUMIFS(BCEU!$C:$C,BCEU!$D:$D,About!$B$2,BCEU!$B:$B,'SYCEU-urban-residential'!$A2,BCEU!$G:$G,'SYCEU-urban-residential'!F$1,BCEU!$F:$F, "urban")</f>
        <v>0</v>
      </c>
      <c r="G2" s="66">
        <f>SUMIFS(BCEU!$C:$C,BCEU!$D:$D,About!$B$2,BCEU!$B:$B,'SYCEU-urban-residential'!$A2,BCEU!$G:$G,'SYCEU-urban-residential'!G$1,BCEU!$F:$F, "urban")</f>
        <v>4298714721933.3701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5733397665271.79</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293241839934.57098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768458757346.33105</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4577565196.4040604</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2173272211422.3501</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1215639621352.6899</v>
      </c>
      <c r="C2" s="66">
        <f>SUMIFS(BCEU!$C:$C,BCEU!$D:$D,About!$B$2,BCEU!$B:$B,$A2,BCEU!$G:$G,C$1,BCEU!$F:$F, "rural")</f>
        <v>0</v>
      </c>
      <c r="D2" s="66">
        <f>SUMIFS(BCEU!$C:$C,BCEU!$D:$D,About!$B$2,BCEU!$B:$B,$A2,BCEU!$G:$G,D$1,BCEU!$F:$F, "rural")</f>
        <v>0</v>
      </c>
      <c r="E2" s="66">
        <f>SUMIFS(BCEU!$C:$C,BCEU!$D:$D,About!$B$2,BCEU!$B:$B,$A2,BCEU!$G:$G,E$1,BCEU!$F:$F, "rural")</f>
        <v>395325843247.43402</v>
      </c>
      <c r="F2" s="66">
        <f>SUMIFS(BCEU!$C:$C,BCEU!$D:$D,About!$B$2,BCEU!$B:$B,$A2,BCEU!$G:$G,F$1,BCEU!$F:$F, "rural")</f>
        <v>0</v>
      </c>
      <c r="G2" s="66">
        <f>SUMIFS(BCEU!$C:$C,BCEU!$D:$D,About!$B$2,BCEU!$B:$B,$A2,BCEU!$G:$G,G$1,BCEU!$F:$F, "rural")</f>
        <v>3213676365083.6099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4286597540521.3701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219243426538.40799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574541242653.66797</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3422434803.5959301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1624855602253.9299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621124205496.52295</v>
      </c>
      <c r="C2" s="66">
        <f>SUMIFS(BCEU!$C:$C,BCEU!$D:$D,About!$B$2,BCEU!$B:$B,$A2,BCEU!$G:$G,C$1,BCEU!$F:$F, "commercial")</f>
        <v>0</v>
      </c>
      <c r="D2" s="66">
        <f>SUMIFS(BCEU!$C:$C,BCEU!$D:$D,About!$B$2,BCEU!$B:$B,$A2,BCEU!$G:$G,D$1,BCEU!$F:$F, "commercial")</f>
        <v>0</v>
      </c>
      <c r="E2" s="66">
        <f>SUMIFS(BCEU!$C:$C,BCEU!$D:$D,About!$B$2,BCEU!$B:$B,$A2,BCEU!$G:$G,E$1,BCEU!$F:$F, "commercial")</f>
        <v>1676185100725.03</v>
      </c>
      <c r="F2" s="66">
        <f>SUMIFS(BCEU!$C:$C,BCEU!$D:$D,About!$B$2,BCEU!$B:$B,$A2,BCEU!$G:$G,F$1,BCEU!$F:$F, "commercial")</f>
        <v>0</v>
      </c>
      <c r="G2" s="66">
        <f>SUMIFS(BCEU!$C:$C,BCEU!$D:$D,About!$B$2,BCEU!$B:$B,$A2,BCEU!$G:$G,G$1,BCEU!$F:$F, "commercial")</f>
        <v>9275888433518.6094</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7456851648678.5898</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3022013191503.5098</v>
      </c>
    </row>
    <row r="5" spans="1:9" x14ac:dyDescent="0.2">
      <c r="A5" s="1" t="s">
        <v>615</v>
      </c>
      <c r="B5" s="66">
        <f>SUMIFS(BCEU!$C:$C,BCEU!$D:$D,About!$B$2,BCEU!$B:$B,$A5,BCEU!$G:$G,B$1,BCEU!$F:$F, "commercial")</f>
        <v>549379711618.95801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976666779290.38501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2023-11-20T16:50:24Z</dcterms:modified>
</cp:coreProperties>
</file>